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cmshr\Desktop\CIU\Initial Docs\"/>
    </mc:Choice>
  </mc:AlternateContent>
  <xr:revisionPtr revIDLastSave="0" documentId="13_ncr:1_{BD08CAAE-E100-4408-A982-27B4DF079947}" xr6:coauthVersionLast="47" xr6:coauthVersionMax="47" xr10:uidLastSave="{00000000-0000-0000-0000-000000000000}"/>
  <bookViews>
    <workbookView xWindow="26880" yWindow="2550" windowWidth="26295" windowHeight="12645" xr2:uid="{553DE66B-8D20-4A9D-AD9C-E2D3BE29DD3D}"/>
  </bookViews>
  <sheets>
    <sheet name="Michael Broadberry" sheetId="36" r:id="rId1"/>
    <sheet name="Process Inventory (4)" sheetId="33" state="hidden" r:id="rId2"/>
    <sheet name="Process Inventory (3)" sheetId="9" state="hidden" r:id="rId3"/>
    <sheet name="Process Inventory (2)" sheetId="8" state="hidden" r:id="rId4"/>
    <sheet name="Process Inventory" sheetId="7" state="hidden" r:id="rId5"/>
  </sheets>
  <externalReferences>
    <externalReference r:id="rId6"/>
    <externalReference r:id="rId7"/>
    <externalReference r:id="rId8"/>
    <externalReference r:id="rId9"/>
  </externalReferences>
  <definedNames>
    <definedName name="_xlnm._FilterDatabase" localSheetId="0" hidden="1">'Michael Broadberry'!$A$15:$M$146</definedName>
    <definedName name="_xlnm._FilterDatabase" localSheetId="4" hidden="1">'Process Inventory'!$A$2:$AF$81</definedName>
    <definedName name="_xlnm._FilterDatabase" localSheetId="3" hidden="1">'Process Inventory (2)'!$A$2:$AF$106</definedName>
    <definedName name="_xlnm._FilterDatabase" localSheetId="2" hidden="1">'Process Inventory (3)'!$A$5:$M$107</definedName>
    <definedName name="_xlnm._FilterDatabase" localSheetId="1" hidden="1">'Process Inventory (4)'!$A$5:$N$74</definedName>
    <definedName name="ADM">#REF!</definedName>
    <definedName name="Cards">[1]Sheet1!$B$5:$E$5</definedName>
    <definedName name="CDPP">#REF!</definedName>
    <definedName name="Commercial">#REF!</definedName>
    <definedName name="Corporate_Cards">[1]Sheet1!$B$11:$F$11</definedName>
    <definedName name="CorporateCard">#REF!</definedName>
    <definedName name="Deposits">#REF!</definedName>
    <definedName name="Field_can_be_Edited">#REF!</definedName>
    <definedName name="Field_is_a_Drop_Down_Menu">#REF!</definedName>
    <definedName name="Generated_by_System__Uneditable">#REF!</definedName>
    <definedName name="Levels">'[2]Support Sheet'!$A$2:$A$4</definedName>
    <definedName name="Nordstrom">#REF!</definedName>
    <definedName name="Nordstrom_Zoot">[1]Sheet1!$B$9:$F$9</definedName>
    <definedName name="NordstromZoot">#REF!</definedName>
    <definedName name="Payments">#REF!</definedName>
    <definedName name="Portfolio">[3]Dropdowns!$B$1:$B$4</definedName>
    <definedName name="RCS">#REF!</definedName>
    <definedName name="ResidentialLending">#REF!</definedName>
    <definedName name="Retail">#REF!</definedName>
    <definedName name="Sample">'[2]Support Sheet'!$E$2:$E$3</definedName>
    <definedName name="Stewards">[3]Dropdowns!$M$1:$M$6</definedName>
    <definedName name="StrategicEnablement">#REF!</definedName>
    <definedName name="Target">#REF!</definedName>
    <definedName name="Target_Zoot">[1]Sheet1!$B$7:$F$7</definedName>
    <definedName name="TargetZoot">#REF!</definedName>
    <definedName name="TDAF">#REF!</definedName>
    <definedName name="Uneditable_after_Initial_Entry">#REF!</definedName>
    <definedName name="UnsecuredLending">#REF!</definedName>
    <definedName name="US_Bankcard">[1]Sheet1!$B$5:$F$5</definedName>
    <definedName name="USBankcard">#REF!</definedName>
    <definedName name="USCustomerAssistanc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74" i="33" l="1"/>
  <c r="E73" i="33"/>
  <c r="E72" i="33"/>
  <c r="E71" i="33"/>
  <c r="E70" i="33"/>
  <c r="E69" i="33"/>
  <c r="E68" i="33"/>
  <c r="E67" i="33"/>
  <c r="E66" i="33"/>
  <c r="E65" i="33"/>
  <c r="E64" i="33"/>
  <c r="E63" i="33"/>
  <c r="E62" i="33"/>
  <c r="E61" i="33"/>
  <c r="E60" i="33"/>
  <c r="E59" i="33"/>
  <c r="E58" i="33"/>
  <c r="E57" i="33"/>
  <c r="E56" i="33"/>
  <c r="E55" i="33"/>
  <c r="E54" i="33"/>
  <c r="E53" i="33"/>
  <c r="E52" i="33"/>
  <c r="E51" i="33"/>
  <c r="E50" i="33"/>
  <c r="E49" i="33"/>
  <c r="E48" i="33"/>
  <c r="E47" i="33"/>
  <c r="E46" i="33"/>
  <c r="E45" i="33"/>
  <c r="E44" i="33"/>
  <c r="E43" i="33"/>
  <c r="E42" i="33"/>
  <c r="E41" i="33"/>
  <c r="E40" i="33"/>
  <c r="E39" i="33"/>
  <c r="E38" i="33"/>
  <c r="E37" i="33"/>
  <c r="E36" i="33"/>
  <c r="E35" i="33"/>
  <c r="E34" i="33"/>
  <c r="E33" i="33"/>
  <c r="E32" i="33"/>
  <c r="E31" i="33"/>
  <c r="E30" i="33"/>
  <c r="E29" i="33"/>
  <c r="E28" i="33"/>
  <c r="E27" i="33"/>
  <c r="E26" i="33"/>
  <c r="E25" i="33"/>
  <c r="E24" i="33"/>
  <c r="E23" i="33"/>
  <c r="E22" i="33"/>
  <c r="E21" i="33"/>
  <c r="E20" i="33"/>
  <c r="E19" i="33"/>
  <c r="E18" i="33"/>
  <c r="E17" i="33"/>
  <c r="E16" i="33"/>
  <c r="E15" i="33"/>
  <c r="E14" i="33"/>
  <c r="E13" i="33"/>
  <c r="E12" i="33"/>
  <c r="E11" i="33"/>
  <c r="E10" i="33"/>
  <c r="E9" i="33"/>
  <c r="E8" i="33"/>
  <c r="E7" i="33"/>
  <c r="E6" i="33"/>
  <c r="E107" i="9"/>
  <c r="E106" i="9"/>
  <c r="E105" i="9"/>
  <c r="E104" i="9"/>
  <c r="E103" i="9"/>
  <c r="E102" i="9"/>
  <c r="E101" i="9"/>
  <c r="E100" i="9"/>
  <c r="E99" i="9"/>
  <c r="E98" i="9"/>
  <c r="E97" i="9"/>
  <c r="E96" i="9"/>
  <c r="E95" i="9"/>
  <c r="E94" i="9"/>
  <c r="E93" i="9"/>
  <c r="E92" i="9"/>
  <c r="E91" i="9"/>
  <c r="E90" i="9"/>
  <c r="E89" i="9"/>
  <c r="E88" i="9"/>
  <c r="E87" i="9"/>
  <c r="E86" i="9"/>
  <c r="E85" i="9"/>
  <c r="E84" i="9"/>
  <c r="E83" i="9"/>
  <c r="E82" i="9"/>
  <c r="E81" i="9"/>
  <c r="E80" i="9"/>
  <c r="E79" i="9"/>
  <c r="E78" i="9"/>
  <c r="E77" i="9"/>
  <c r="E76" i="9"/>
  <c r="E75" i="9"/>
  <c r="E74" i="9"/>
  <c r="E73" i="9"/>
  <c r="E72" i="9"/>
  <c r="E71" i="9"/>
  <c r="E70" i="9"/>
  <c r="E69" i="9"/>
  <c r="E68" i="9"/>
  <c r="E67" i="9"/>
  <c r="E66" i="9"/>
  <c r="E65" i="9"/>
  <c r="E64" i="9"/>
  <c r="E63" i="9"/>
  <c r="E62" i="9"/>
  <c r="E61" i="9"/>
  <c r="E60" i="9"/>
  <c r="E59" i="9"/>
  <c r="E58" i="9"/>
  <c r="E57" i="9"/>
  <c r="E56" i="9"/>
  <c r="E55" i="9"/>
  <c r="E54" i="9"/>
  <c r="E53" i="9"/>
  <c r="E52" i="9"/>
  <c r="E51" i="9"/>
  <c r="E50" i="9"/>
  <c r="E49" i="9"/>
  <c r="E48" i="9"/>
  <c r="E47" i="9"/>
  <c r="E46" i="9"/>
  <c r="E45" i="9"/>
  <c r="E44" i="9"/>
  <c r="E43" i="9"/>
  <c r="E42" i="9"/>
  <c r="E41" i="9"/>
  <c r="E40" i="9"/>
  <c r="E39" i="9"/>
  <c r="E38" i="9"/>
  <c r="E37" i="9"/>
  <c r="E36" i="9"/>
  <c r="E35" i="9"/>
  <c r="E34" i="9"/>
  <c r="E33" i="9"/>
  <c r="E32" i="9"/>
  <c r="E31" i="9"/>
  <c r="E30" i="9"/>
  <c r="E29" i="9"/>
  <c r="E28" i="9"/>
  <c r="E27" i="9"/>
  <c r="E26" i="9"/>
  <c r="E25" i="9"/>
  <c r="E24" i="9"/>
  <c r="E23" i="9"/>
  <c r="E22" i="9"/>
  <c r="E21" i="9"/>
  <c r="E20" i="9"/>
  <c r="E19" i="9"/>
  <c r="E18" i="9"/>
  <c r="E17" i="9"/>
  <c r="E16" i="9"/>
  <c r="E15" i="9"/>
  <c r="E14" i="9"/>
  <c r="E13" i="9"/>
  <c r="E12" i="9"/>
  <c r="E11" i="9"/>
  <c r="E10" i="9"/>
  <c r="E9" i="9"/>
  <c r="E8" i="9"/>
  <c r="E7" i="9"/>
  <c r="E6" i="9"/>
  <c r="V1" i="8"/>
  <c r="W1" i="8"/>
  <c r="X1" i="8"/>
  <c r="Y1" i="8"/>
  <c r="Z1" i="8"/>
  <c r="AA1" i="8"/>
  <c r="AB1" i="8"/>
  <c r="AC1" i="8"/>
  <c r="AD1" i="8"/>
  <c r="E41" i="8"/>
  <c r="E3" i="8"/>
  <c r="E4" i="8"/>
  <c r="E5" i="8"/>
  <c r="E6" i="8"/>
  <c r="E7" i="8"/>
  <c r="E8" i="8"/>
  <c r="E9" i="8"/>
  <c r="E10" i="8"/>
  <c r="E11" i="8"/>
  <c r="E12" i="8"/>
  <c r="E13" i="8"/>
  <c r="E14" i="8"/>
  <c r="E15" i="8"/>
  <c r="E16" i="8"/>
  <c r="E17" i="8"/>
  <c r="F17" i="8"/>
  <c r="E18" i="8"/>
  <c r="E19" i="8"/>
  <c r="E20" i="8"/>
  <c r="E21" i="8"/>
  <c r="E22" i="8"/>
  <c r="E23" i="8"/>
  <c r="E24" i="8"/>
  <c r="E25" i="8"/>
  <c r="E26" i="8"/>
  <c r="E27" i="8"/>
  <c r="E28" i="8"/>
  <c r="E29" i="8"/>
  <c r="E30" i="8"/>
  <c r="E31" i="8"/>
  <c r="E32" i="8"/>
  <c r="E33" i="8"/>
  <c r="E34" i="8"/>
  <c r="E35" i="8"/>
  <c r="E36" i="8"/>
  <c r="E37" i="8"/>
  <c r="E38" i="8"/>
  <c r="E39" i="8"/>
  <c r="E40" i="8"/>
  <c r="E42" i="8"/>
  <c r="E43" i="8"/>
  <c r="E44" i="8"/>
  <c r="E45" i="8"/>
  <c r="E46" i="8"/>
  <c r="F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AE2" i="8"/>
  <c r="S68" i="7"/>
  <c r="S56" i="7"/>
  <c r="S55" i="7"/>
  <c r="S54" i="7"/>
  <c r="S53" i="7"/>
  <c r="S52" i="7"/>
  <c r="S51" i="7"/>
  <c r="S50" i="7"/>
  <c r="S49" i="7"/>
  <c r="S48" i="7"/>
  <c r="S47" i="7"/>
  <c r="S46" i="7"/>
  <c r="S45" i="7"/>
  <c r="S44" i="7"/>
  <c r="S43" i="7"/>
  <c r="S42" i="7"/>
  <c r="S40" i="7"/>
  <c r="S39" i="7"/>
  <c r="S38" i="7"/>
  <c r="S37" i="7"/>
  <c r="S36" i="7"/>
  <c r="S35" i="7"/>
  <c r="S34" i="7"/>
  <c r="S33" i="7"/>
  <c r="S32" i="7"/>
  <c r="S31" i="7"/>
  <c r="S30" i="7"/>
  <c r="S29" i="7"/>
  <c r="S28" i="7"/>
  <c r="S27" i="7"/>
  <c r="S26" i="7"/>
  <c r="S25" i="7"/>
  <c r="S24" i="7"/>
  <c r="S23" i="7"/>
  <c r="S22" i="7"/>
  <c r="S21" i="7"/>
  <c r="S20" i="7"/>
  <c r="S19" i="7"/>
  <c r="S18" i="7"/>
  <c r="S17" i="7"/>
  <c r="S15" i="7"/>
  <c r="S14" i="7"/>
  <c r="S13" i="7"/>
  <c r="S12" i="7"/>
  <c r="S11" i="7"/>
  <c r="S10" i="7"/>
  <c r="S9" i="7"/>
  <c r="S8" i="7"/>
  <c r="S7" i="7"/>
  <c r="S6" i="7"/>
  <c r="S5" i="7"/>
  <c r="S4" i="7"/>
  <c r="S3" i="7"/>
  <c r="AE2" i="7"/>
  <c r="AD1" i="7"/>
  <c r="AC1" i="7"/>
  <c r="AB1" i="7"/>
  <c r="AA1" i="7"/>
  <c r="Z1" i="7"/>
  <c r="Y1" i="7"/>
  <c r="X1" i="7"/>
  <c r="W1" i="7"/>
  <c r="V1" i="7"/>
  <c r="U11" i="8"/>
  <c r="U50" i="8"/>
  <c r="U13" i="8"/>
  <c r="U56" i="7"/>
  <c r="U34" i="7"/>
  <c r="U3" i="8"/>
  <c r="U15" i="8"/>
  <c r="U36" i="8"/>
  <c r="U14" i="8"/>
  <c r="U12" i="8"/>
  <c r="U10" i="8"/>
  <c r="U9" i="8"/>
  <c r="U7" i="8"/>
  <c r="U6" i="8"/>
  <c r="U52" i="8"/>
  <c r="U53" i="7"/>
  <c r="U51" i="8"/>
  <c r="U5" i="8"/>
  <c r="U4" i="8"/>
  <c r="U34" i="8"/>
  <c r="U56" i="8"/>
  <c r="U49" i="8"/>
  <c r="U37" i="8"/>
  <c r="U48" i="8"/>
  <c r="U47" i="8"/>
  <c r="U8" i="8"/>
  <c r="U41" i="8"/>
  <c r="U30" i="8"/>
  <c r="U45" i="8"/>
  <c r="U29" i="8"/>
  <c r="U46" i="8"/>
  <c r="U68" i="8"/>
  <c r="U24" i="8"/>
  <c r="U33" i="8"/>
  <c r="U35" i="8"/>
  <c r="U32" i="8"/>
  <c r="U25" i="8"/>
  <c r="U28" i="8"/>
  <c r="U27" i="8"/>
  <c r="U54" i="8"/>
  <c r="U16" i="8"/>
  <c r="U31" i="8"/>
  <c r="U17" i="8"/>
  <c r="U55" i="8"/>
  <c r="U26" i="8"/>
  <c r="U53" i="8"/>
  <c r="U23" i="8"/>
  <c r="U22" i="8"/>
  <c r="U43" i="8"/>
  <c r="U21" i="8"/>
  <c r="U44" i="8"/>
  <c r="U42" i="8"/>
  <c r="U20" i="8"/>
  <c r="U19" i="8"/>
  <c r="U40" i="8"/>
  <c r="U18" i="8"/>
  <c r="U39" i="8"/>
  <c r="U38" i="8"/>
  <c r="U23" i="7"/>
  <c r="U12" i="7"/>
  <c r="U68" i="7"/>
  <c r="U13" i="7"/>
  <c r="U47" i="7"/>
  <c r="U25" i="7"/>
  <c r="U3" i="7"/>
  <c r="U14" i="7"/>
  <c r="U48" i="7"/>
  <c r="U26" i="7"/>
  <c r="U4" i="7"/>
  <c r="U15" i="7"/>
  <c r="U49" i="7"/>
  <c r="U16" i="7"/>
  <c r="U5" i="7"/>
  <c r="U50" i="7"/>
  <c r="U17" i="7"/>
  <c r="U28" i="7"/>
  <c r="U39" i="7"/>
  <c r="U6" i="7"/>
  <c r="U51" i="7"/>
  <c r="U18" i="7"/>
  <c r="U29" i="7"/>
  <c r="U40" i="7"/>
  <c r="U7" i="7"/>
  <c r="U41" i="7"/>
  <c r="U52" i="7"/>
  <c r="U19" i="7"/>
  <c r="U30" i="7"/>
  <c r="U24" i="7"/>
  <c r="U27" i="7"/>
  <c r="U10" i="7"/>
  <c r="U44" i="7"/>
  <c r="U55" i="7"/>
  <c r="U46" i="7"/>
  <c r="U35" i="7"/>
  <c r="U36" i="7"/>
  <c r="U37" i="7"/>
  <c r="U38" i="7"/>
  <c r="U8" i="7"/>
  <c r="U42" i="7"/>
  <c r="U20" i="7"/>
  <c r="U31" i="7"/>
  <c r="U9" i="7"/>
  <c r="U43" i="7"/>
  <c r="U54" i="7"/>
  <c r="U21" i="7"/>
  <c r="U32" i="7"/>
  <c r="U22" i="7"/>
  <c r="U33" i="7"/>
  <c r="U11" i="7"/>
  <c r="U45" i="7"/>
</calcChain>
</file>

<file path=xl/sharedStrings.xml><?xml version="1.0" encoding="utf-8"?>
<sst xmlns="http://schemas.openxmlformats.org/spreadsheetml/2006/main" count="5265" uniqueCount="1147">
  <si>
    <t>Process ID</t>
  </si>
  <si>
    <t>Process Name</t>
  </si>
  <si>
    <t>AVP</t>
  </si>
  <si>
    <t>CSET</t>
  </si>
  <si>
    <t>Defined Business Area</t>
  </si>
  <si>
    <t>P01</t>
  </si>
  <si>
    <t>Global Regulatory Inventory &amp; Control</t>
  </si>
  <si>
    <t>Denise Morris</t>
  </si>
  <si>
    <t>Compliance Controls - Road to Strong</t>
  </si>
  <si>
    <t>P02</t>
  </si>
  <si>
    <t>Issues Management</t>
  </si>
  <si>
    <t>Compliance - Road to Strong</t>
  </si>
  <si>
    <t>P03</t>
  </si>
  <si>
    <t>Monitoring &amp; Testing</t>
  </si>
  <si>
    <t>Dan Zielinski</t>
  </si>
  <si>
    <t>Compliance Programs - Enterprise Compliance Testing</t>
  </si>
  <si>
    <t>P04</t>
  </si>
  <si>
    <t>Regulatory Change</t>
  </si>
  <si>
    <t>P05</t>
  </si>
  <si>
    <t>Regulatory Compliance Management (RCM) Risk Assessment</t>
  </si>
  <si>
    <t>Compliance
Compliance Controls - Road to Strong</t>
  </si>
  <si>
    <t>P06</t>
  </si>
  <si>
    <t>RCM CCO Reporting (Board Reporting - CCO Opinion reporting) </t>
  </si>
  <si>
    <t>Corporate Programs and Reporting</t>
  </si>
  <si>
    <t>P07</t>
  </si>
  <si>
    <t>Regulatory Data Verification</t>
  </si>
  <si>
    <t>Mark Desautels</t>
  </si>
  <si>
    <t>Patrice Ficklin</t>
  </si>
  <si>
    <t>U.S. Compliance Operations &amp; Governance</t>
  </si>
  <si>
    <t>P08</t>
  </si>
  <si>
    <t>Regulatory Incident Management</t>
  </si>
  <si>
    <t>Mary Miras</t>
  </si>
  <si>
    <t>Transformation Enablement &amp; Customer Experience + Platforms (TECE+P) Compliance</t>
  </si>
  <si>
    <t>P09</t>
  </si>
  <si>
    <t>Regulatory Change Management 4</t>
  </si>
  <si>
    <t>P10</t>
  </si>
  <si>
    <t>Compliance Business-level Reporting</t>
  </si>
  <si>
    <t>Julie Badurina</t>
  </si>
  <si>
    <t>Canadian Banking Compliance &amp; TDIS Compliance</t>
  </si>
  <si>
    <t>P11</t>
  </si>
  <si>
    <t>Head Office Trade Supervision Reports</t>
  </si>
  <si>
    <t>Gregory Stoeckl</t>
  </si>
  <si>
    <t>P12</t>
  </si>
  <si>
    <t>Outside Business Activity (OBA) Reviews</t>
  </si>
  <si>
    <t>P13</t>
  </si>
  <si>
    <t xml:space="preserve">Compliance Monthly Report </t>
  </si>
  <si>
    <t>P14</t>
  </si>
  <si>
    <t>Issues Management 2</t>
  </si>
  <si>
    <t>P16</t>
  </si>
  <si>
    <t>Head Office Daily Mutual Funds Trade Review</t>
  </si>
  <si>
    <t>P17</t>
  </si>
  <si>
    <t>Complaints Review</t>
  </si>
  <si>
    <t>P18</t>
  </si>
  <si>
    <t xml:space="preserve">TDS Global Trade Surveillance </t>
  </si>
  <si>
    <t>Michael Broadbery</t>
  </si>
  <si>
    <t>TD Securities</t>
  </si>
  <si>
    <t>P19</t>
  </si>
  <si>
    <t>TDS e-Communication Surveillance</t>
  </si>
  <si>
    <t>Phil Vallee</t>
  </si>
  <si>
    <t>P20</t>
  </si>
  <si>
    <t>TDS Grey &amp; Restricted List Management</t>
  </si>
  <si>
    <t>Sunil Thomas</t>
  </si>
  <si>
    <t>P21</t>
  </si>
  <si>
    <t>Outside Business Activity (OBA) Tool</t>
  </si>
  <si>
    <t>Beverley Smyk</t>
  </si>
  <si>
    <t>P22</t>
  </si>
  <si>
    <t>Personal Trading</t>
  </si>
  <si>
    <t>P23</t>
  </si>
  <si>
    <t>TDS Regulatory Inquiries &amp; Investigations - CAN</t>
  </si>
  <si>
    <t>P24</t>
  </si>
  <si>
    <t>TDS Regulatory Inquiries &amp; Investigations - US</t>
  </si>
  <si>
    <t>Dede Jawde</t>
  </si>
  <si>
    <t>P25</t>
  </si>
  <si>
    <t>TDS Regulatory Inquiries &amp; Investigations - UK</t>
  </si>
  <si>
    <t>Jarrod Hakker</t>
  </si>
  <si>
    <t>P26</t>
  </si>
  <si>
    <t>TDS Regulatory Inquiries &amp; Investigations - ROI</t>
  </si>
  <si>
    <t>Deirdre Grier (Ireland)</t>
  </si>
  <si>
    <t>P27</t>
  </si>
  <si>
    <t>TDS Regulatory Inquiries &amp; Investigations - APAC</t>
  </si>
  <si>
    <t>P28</t>
  </si>
  <si>
    <t>Registrations - CAN</t>
  </si>
  <si>
    <t>P29</t>
  </si>
  <si>
    <t>Registrations - US</t>
  </si>
  <si>
    <t>P30</t>
  </si>
  <si>
    <t>Registrations - UK</t>
  </si>
  <si>
    <t>P31</t>
  </si>
  <si>
    <t>Fitness and Probability - ROI (Registration)</t>
  </si>
  <si>
    <t>Emer Keating</t>
  </si>
  <si>
    <t>P32</t>
  </si>
  <si>
    <t>Registrations - APAC</t>
  </si>
  <si>
    <t>Natarajan Hariharan</t>
  </si>
  <si>
    <t>P33</t>
  </si>
  <si>
    <t>Surveillance</t>
  </si>
  <si>
    <t>Victoria Carrier</t>
  </si>
  <si>
    <t>TD Wealth</t>
  </si>
  <si>
    <t>P34</t>
  </si>
  <si>
    <t>Registrations</t>
  </si>
  <si>
    <t>P35</t>
  </si>
  <si>
    <t>Outside Business Activities Tool</t>
  </si>
  <si>
    <t>P36</t>
  </si>
  <si>
    <t>P37</t>
  </si>
  <si>
    <t>Personal Trading – Restricted List</t>
  </si>
  <si>
    <t>P38</t>
  </si>
  <si>
    <t>Complaint and Internal Investigations</t>
  </si>
  <si>
    <t>Kevin Fabian</t>
  </si>
  <si>
    <t>P39</t>
  </si>
  <si>
    <t>REDS-OBA-TDI Registered</t>
  </si>
  <si>
    <t>Insurance</t>
  </si>
  <si>
    <t>P40</t>
  </si>
  <si>
    <t>US Complaints</t>
  </si>
  <si>
    <t>TD BUSH</t>
  </si>
  <si>
    <t>P41</t>
  </si>
  <si>
    <t>US Wealth Compliance - OBA</t>
  </si>
  <si>
    <t>Steven Sones</t>
  </si>
  <si>
    <t>Nayra Calderon</t>
  </si>
  <si>
    <t>P42</t>
  </si>
  <si>
    <t xml:space="preserve">USPO Privacy Event Management Dashboard </t>
  </si>
  <si>
    <t>Jon Rasmussen</t>
  </si>
  <si>
    <t>US Privacy</t>
  </si>
  <si>
    <t>P43</t>
  </si>
  <si>
    <t xml:space="preserve">FATCA CRS Responsible Officer Certification </t>
  </si>
  <si>
    <t>FATCA CRS</t>
  </si>
  <si>
    <t>P45</t>
  </si>
  <si>
    <t>Business Oversight Monitoring</t>
  </si>
  <si>
    <t>Ursula Iten-Mcgrath</t>
  </si>
  <si>
    <t>Privacy</t>
  </si>
  <si>
    <t>P46</t>
  </si>
  <si>
    <t>Global Privacy Regulatory Change Management Procedure</t>
  </si>
  <si>
    <t>P47</t>
  </si>
  <si>
    <t>Key Risk Indicator Reporting</t>
  </si>
  <si>
    <t>P48</t>
  </si>
  <si>
    <t xml:space="preserve">Corporate Defense Group HIPAA - Power Apps </t>
  </si>
  <si>
    <t>P49</t>
  </si>
  <si>
    <t>Reporting - External</t>
  </si>
  <si>
    <t>P50</t>
  </si>
  <si>
    <t>Complaints (TD Insurance Compliance)</t>
  </si>
  <si>
    <t>P51</t>
  </si>
  <si>
    <t>Privacy Impact Assessment (PIA) Project</t>
  </si>
  <si>
    <t>P52</t>
  </si>
  <si>
    <t>Other Monitoring Activities</t>
  </si>
  <si>
    <t>P53</t>
  </si>
  <si>
    <t>Privacy Event Management</t>
  </si>
  <si>
    <t>P54</t>
  </si>
  <si>
    <t xml:space="preserve">RCM Program Effectiveness Assessment (PEA)
</t>
  </si>
  <si>
    <t>Compliance Strategy &amp; Operations</t>
  </si>
  <si>
    <t>P55</t>
  </si>
  <si>
    <t xml:space="preserve">Compliance Controls - Road to Strong
</t>
  </si>
  <si>
    <t>P56</t>
  </si>
  <si>
    <t xml:space="preserve">Regulatory Fines &amp; Penalties
</t>
  </si>
  <si>
    <t>P57</t>
  </si>
  <si>
    <t>FTE information</t>
  </si>
  <si>
    <t>P58</t>
  </si>
  <si>
    <t>Global Compliance Quality Assurance Review (GCQAR) Program 1</t>
  </si>
  <si>
    <t>Erin Morrow</t>
  </si>
  <si>
    <t>Quality and Assurance</t>
  </si>
  <si>
    <t>P59</t>
  </si>
  <si>
    <t>Centralized Quality Monitoring activities</t>
  </si>
  <si>
    <t>P60</t>
  </si>
  <si>
    <t xml:space="preserve">Quality Assurance Reporting </t>
  </si>
  <si>
    <t>P61</t>
  </si>
  <si>
    <t>Global Compliance Quality Assurance Review (CQAR) Program 2</t>
  </si>
  <si>
    <t>P62</t>
  </si>
  <si>
    <t>Audit/Exam Management</t>
  </si>
  <si>
    <t>P63</t>
  </si>
  <si>
    <t>pRCSA</t>
  </si>
  <si>
    <t>P64</t>
  </si>
  <si>
    <t>MyCE Reporting</t>
  </si>
  <si>
    <t>Compliance Road to Strong</t>
  </si>
  <si>
    <t>P65</t>
  </si>
  <si>
    <t>Corporate Functions Compliance Working Documents</t>
  </si>
  <si>
    <t>Corporate Office Compliance</t>
  </si>
  <si>
    <t>P66</t>
  </si>
  <si>
    <t>P67</t>
  </si>
  <si>
    <t xml:space="preserve">Marketing Reviews - all Wealth </t>
  </si>
  <si>
    <t>P68</t>
  </si>
  <si>
    <t>Cease Trade Order Reviews</t>
  </si>
  <si>
    <t>P69</t>
  </si>
  <si>
    <t>Brokerage Account Questionnaire (BAQ)</t>
  </si>
  <si>
    <t>P70</t>
  </si>
  <si>
    <t>Compliance Documentation</t>
  </si>
  <si>
    <t>P71</t>
  </si>
  <si>
    <t xml:space="preserve">Regulatory Filiings with FCAC
</t>
  </si>
  <si>
    <t xml:space="preserve">Listing of Processes </t>
  </si>
  <si>
    <t>Instructions</t>
  </si>
  <si>
    <t>Explain</t>
  </si>
  <si>
    <t>Process Description</t>
  </si>
  <si>
    <t>Process Owner</t>
  </si>
  <si>
    <r>
      <t xml:space="preserve">pRCSA Reference Number 
</t>
    </r>
    <r>
      <rPr>
        <i/>
        <sz val="11"/>
        <color theme="1"/>
        <rFont val="Calibri"/>
        <family val="2"/>
        <scheme val="minor"/>
      </rPr>
      <t>(if applicable)</t>
    </r>
  </si>
  <si>
    <t>DRD Asset</t>
  </si>
  <si>
    <t>TDAR Application Code</t>
  </si>
  <si>
    <t>Application Name</t>
  </si>
  <si>
    <t xml:space="preserve">Structured Data? </t>
  </si>
  <si>
    <r>
      <t xml:space="preserve">List what Data is Used and what are the Current Data Sources? 
</t>
    </r>
    <r>
      <rPr>
        <b/>
        <sz val="10"/>
        <color rgb="FFFF0000"/>
        <rFont val="Calibri"/>
        <family val="2"/>
        <scheme val="minor"/>
      </rPr>
      <t>Example: 
[ Name of Data Used] from [Name of System/Application/Share Point/EUC/Dashboard]</t>
    </r>
  </si>
  <si>
    <t>Comments</t>
  </si>
  <si>
    <t>Monitoring and identification of new LRRs for inclusion in TD’s book of record for all regulatory compliance LRRs that apply to TD ("Global Regulatory Inventory")
Determination of applicability of LRR to BUs and mapping applicable LRRs to Bus
Mapping of controls to LRRs at the appropriate level of granularity."
Compliance Transformation, Road to Strong, 04. Regulatory Control Inventory</t>
  </si>
  <si>
    <t>Heath  Novak, Zorah Sadegui</t>
  </si>
  <si>
    <t>BPID-9488411</t>
  </si>
  <si>
    <t>DBoR0051357
DBoR0051110
DBoR0040501
DBoR0011268</t>
  </si>
  <si>
    <t>Yes</t>
  </si>
  <si>
    <t>1) CATs data from MERLIN
2) Updated ERR &amp; BAU Strats &amp; Operation from Share Point</t>
  </si>
  <si>
    <t>"...regulatory compliance issues are to be managed across the enterprise. The IMF defines an Issue as an inadequately mitigated risk due to a weakness or gap in controls that requires senior executive (Senior Executive1) attention and remediation. Issues are entered, tracked, and reported in TD's central Issue management database (MERLIN2). The IMF/IMS outlines common characteristics and minimum requirements to support thematic aggregation, analysis and reporting of Issues. This document supplements those documents and provides additional details on how regulatory compliance issues are governed."</t>
  </si>
  <si>
    <t>Jelena Cokorilo, Kevin Choi, Zoe Belvedere</t>
  </si>
  <si>
    <t>"Monitoring is the ongoing and risk-based review, analysis, and/or surveillance performed to identify emerging risks, irregularities, or non-compliance of LRRs which help verify that the Bank operates within established risk appetites. Monitoring should enable effective identification of controls that are not operating properly.
Testing is a risk-based process designed to periodically evaluate and report on the (i) design and (ii) operating effectiveness of internal controls and/or (iii) compliance with LRRs.
A control is an action designed to provide reasonable assurance regarding the achievement of organizational objectives such as effective business operations, compliance with applicable regulatory requirements and reliable financial and non-financial reporting."</t>
  </si>
  <si>
    <t>Nitassa Upal, Jen Villagomez</t>
  </si>
  <si>
    <t>BPID-9488577
BPID-9488576</t>
  </si>
  <si>
    <t>DBoR0041598
DBoR0040975
DBoR0051369</t>
  </si>
  <si>
    <t>The process by which Compliance manages changes to regulations, e.g. new/amended regulations, periodic review of existing regulatory inventory, implementation and/or oversight of regulatory recommendations and communicates changes to the organization.</t>
  </si>
  <si>
    <t>Heath Novak, Vanessa Bunch</t>
  </si>
  <si>
    <t>BPID-9488413</t>
  </si>
  <si>
    <t>DBoR0051362
DBoR0051343</t>
  </si>
  <si>
    <t xml:space="preserve">1) Regulatory Intake Tracker Data / from Share Point regulatory Intake Tracker
</t>
  </si>
  <si>
    <t>A systematic, repeatable process of evaluating the inherent risk, effectiveness of the regulatory compliance management control environment and residual risk of the Business Units (BUs) within the scope of the Compliance Department's Mandate.</t>
  </si>
  <si>
    <t>Mimi Xue, Jameel Alavi</t>
  </si>
  <si>
    <t>BPID-2600522</t>
  </si>
  <si>
    <t>DBoR0051528
DBoR0050858
DBoR0019647
DBoR0019687
DBoR0002534
DBoR0050857</t>
  </si>
  <si>
    <t>Process of reporting regularly to various reports regarding compliance issues, issues regarding relationship and interaction among compliance departments, management and/or regulators, and to inform directors about significant violations and noncompliance.</t>
  </si>
  <si>
    <t xml:space="preserve">Mimi Xue, Grace Few </t>
  </si>
  <si>
    <t>BPID-9488377
BPID-9488431</t>
  </si>
  <si>
    <t>DBoR0050769
DBoR0050771</t>
  </si>
  <si>
    <t>The process to conduct periodic review, approval and submission of applicable HMDA and CRA data (product and customer) to regulatory entities.</t>
  </si>
  <si>
    <t>BPID-2599922</t>
  </si>
  <si>
    <t>Used to track Regulatory Compliance Issues (RCIs), FCAC submission approvals (business segments, Legal, Compliance).
Data : Number of impacted customers; accounts; Dates, Impact .. Gets logged into a report, template gets filled out. Issue is created in MERLIN but data is provided by 1B or Business Units. Standard reporting template</t>
  </si>
  <si>
    <t>David Burrows,John Fok</t>
  </si>
  <si>
    <t>Not Applicable</t>
  </si>
  <si>
    <t>DBoR0019719</t>
  </si>
  <si>
    <t>No</t>
  </si>
  <si>
    <t>Used by GTCO Compliance to document regulatory change  affecting GTCO business segments. Details of proposed and final regulatory/rule changes, news &amp; information related to areas of laws/rules/regulation.</t>
  </si>
  <si>
    <t>DBoR0019808</t>
  </si>
  <si>
    <t>Repoprting to various levels of BU management, as well as ACOB and Risk Committee</t>
  </si>
  <si>
    <t>Chris MacLaren,Jill Nelles</t>
  </si>
  <si>
    <t>DBoR0051328
DBoR0051328</t>
  </si>
  <si>
    <t>Report the stats and trends for Head Office compliance supervisory review</t>
  </si>
  <si>
    <t>BPID-9488703</t>
  </si>
  <si>
    <t>DBoR0019714</t>
  </si>
  <si>
    <t>Review outside business activity applications for mutual funds licensed employees</t>
  </si>
  <si>
    <t>BPID-9488683</t>
  </si>
  <si>
    <t>DBoR0019764</t>
  </si>
  <si>
    <t>Report the stats and trends for TDIS</t>
  </si>
  <si>
    <t>DBoR0019899</t>
  </si>
  <si>
    <t>Tracking and assessment of BU Issues from inception to remediation</t>
  </si>
  <si>
    <t>DBoR0019726</t>
  </si>
  <si>
    <t>Daily reviews in conjunction with Internal Policies and External Regulation</t>
  </si>
  <si>
    <t>DBoR0019713</t>
  </si>
  <si>
    <t>Independent investigation and assesment of Level 2 regulatory customer complaints</t>
  </si>
  <si>
    <t>DBoR0019662</t>
  </si>
  <si>
    <t>Performing trade surveillance on T+1 activities of trading desks to identify potential trade violations issues in order to comply with requirements as set out by the Service Recipient's Policies and Procedures.
Escalation of potential trade violations / breaches / issues will occur according to GTS procedures which will align to regional procedures in their treatment and resolution.</t>
  </si>
  <si>
    <t>Jason Le , Phil Vallee</t>
  </si>
  <si>
    <t>N/A</t>
  </si>
  <si>
    <t>Performing trade surveillance on T+1 activities of trading desks to identify potential E-communications violations issues in order to comply with requirements as set out by the Service Recipient's Policies and Procedures.
Escalation of potential trade violations / breaches / issues will occur according to GTS procedures which will align to regional procedures in their treatment and resolution.</t>
  </si>
  <si>
    <t>1. Perform research for Grey &amp; Restricted Lists.
2. Maintain Grey &amp; Restricted Lists.
3. Pre-Clearing of Personal Trading. Review trading requests against the Grey List to determine whether the employee is permitted to trade.</t>
  </si>
  <si>
    <t>Applications are submitted online by the employee using the Compliance OBA System. This system provides people managers with an outline of the OBAs for their direct reports to which they can use for visibility and supervision/oversight while evaluating whether or not it is deemed for approval. Conditional approvals may also occur depending on the details of the OBA.
A monthly OBA report is created to get an overview on the status of OBAs across TDS employees.</t>
  </si>
  <si>
    <t>Beverley Smyk , Sarmad Shaikh , Ariana Prasad</t>
  </si>
  <si>
    <t>Employee and household discretionary accounts and private transactions are monitored by the Global Control Room using automated personal trading system (Star Compliance platform) in accordance with the applicable Personal Trading Policy (TDS Personal Trading Policy, TD Information barriers Policy, TD Trading Window Policy). 
Monthly reports are provided to Regional Compliance Teams and the business.</t>
  </si>
  <si>
    <t>All requests for information from the regulators are logged and reported quarterly in Compliance TDR to the Business and compliance management. Inquiries rated as 'High' and all investigations are entered into Merlin.</t>
  </si>
  <si>
    <t xml:space="preserve">All requests for information from the regulators are logged and reported monthly in compliance reporting to various governance forums.  Issues are logged and tracked according to Regulatory Program Management protocols in the U.S. </t>
  </si>
  <si>
    <t>1. Regulatory Inquiries: correspondence/communications to/from the regulator
2. Regulatory filings: Periodic and ad hoc filings/returns to the regulator
3. Regulatory Investigations/Examinations: Periodic and ad hoc request from regulator</t>
  </si>
  <si>
    <t xml:space="preserve">Mavis Chan </t>
  </si>
  <si>
    <t>Managing the entity and individual registrations required to conduct business and trade specific products in Canada and to comply with CIRO and MX regulatory requirements.</t>
  </si>
  <si>
    <t>Beverley Smyk,  Phil Vallee</t>
  </si>
  <si>
    <t>Managing the entity and individual registrations required to conduct business in the U.S. and to comply with U.S. regulatory requirements.</t>
  </si>
  <si>
    <t>Management of various processes related to regulatory certification/registration for employees.</t>
  </si>
  <si>
    <t xml:space="preserve">Management of various processes related to employees in scope of Fitness &amp; Probity including maintenance of the F&amp;P register and associated files. </t>
  </si>
  <si>
    <t xml:space="preserve">Use applications with feed from regulators to complete registrations files and required registrations regulatory filings.  </t>
  </si>
  <si>
    <t xml:space="preserve">Use third party vendor tool and internal TD applications to review conduct market conduct activities. Some surveillance reviews may lead to regulatory reporting. </t>
  </si>
  <si>
    <t>Sally Kwon,Gaetano Scaramuzza, Duane Penney</t>
  </si>
  <si>
    <t>BPID-9488744</t>
  </si>
  <si>
    <t xml:space="preserve">Use applications with feed from regulators to complete registrations files and required registrations regulatory filings.   </t>
  </si>
  <si>
    <t>Sally Kwon,Amanda Mazza,Asghar Hussain</t>
  </si>
  <si>
    <t>BPID-9488746</t>
  </si>
  <si>
    <t>DBoR0050364</t>
  </si>
  <si>
    <r>
      <t xml:space="preserve">Via the </t>
    </r>
    <r>
      <rPr>
        <strike/>
        <sz val="11"/>
        <color theme="1"/>
        <rFont val="Calibri"/>
        <family val="2"/>
        <scheme val="minor"/>
      </rPr>
      <t xml:space="preserve">HR </t>
    </r>
    <r>
      <rPr>
        <sz val="11"/>
        <color theme="1"/>
        <rFont val="Calibri"/>
        <family val="2"/>
        <scheme val="minor"/>
      </rPr>
      <t xml:space="preserve">OBA portal, the "recommend" or "not recommend" response is recorded along with any conditions. </t>
    </r>
  </si>
  <si>
    <t>Yvonne Chang,Sarah Hicks,Jon Jordan</t>
  </si>
  <si>
    <t>DBoR0050457</t>
  </si>
  <si>
    <t>Quarterly and annual PTP Attestations:  Employee accounts are monitored by Protrades using automated personal trading system (Star Compliance platform) in accordance w the applicable (TDAM, TDAM-Epoch, TDW PIC, Wealth Investment Office) Personal Trading Policy. 
Family Exceptions Attestation – ad hoc and annual :  Employee family exceptions are monitored by Protrades to confirm conformance w the applicable Personal Trading Policy.
IRC Reporting:  Annual reporting to the IRC of PT activity for TDAM employees.</t>
  </si>
  <si>
    <t>Yvonne Chang,Eileen di Cenzo
Yvonne Chang,Isar Ahmad</t>
  </si>
  <si>
    <t>BPID-9488751</t>
  </si>
  <si>
    <t>DBoR0050137
DBoR0050141
DBoR0050135
DBoR0019768</t>
  </si>
  <si>
    <t>Daily compilation from various sources of securities restricted for trading for TDAM (TDAM PMs and Sub-advisors)</t>
  </si>
  <si>
    <t>Yvonne Chang,Eileen di Cenzo</t>
  </si>
  <si>
    <t>Report regulatory complaint allegations and reportable internal investigations and disciplinary matters to, primarily CIRO. This reporting is on a case by case basis.</t>
  </si>
  <si>
    <t xml:space="preserve">Bank employees submit Outside Business Activities for approval and attest to previously approved activities annually </t>
  </si>
  <si>
    <t>Alain Camirand, Soheila Satei,</t>
  </si>
  <si>
    <t>DBoR0050403</t>
  </si>
  <si>
    <t xml:space="preserve">Manage the oversight process related to US complaints </t>
  </si>
  <si>
    <t xml:space="preserve">Chris Johnson, April Harvey, Shaun McDevitt (Data Council), </t>
  </si>
  <si>
    <t>Monitoring of outside business activities (OBA) for individuals associated with TD Private Client Wealth LLC (TDPCW)</t>
  </si>
  <si>
    <t>CDG Uplift Privacy Event Management Project report</t>
  </si>
  <si>
    <t>Stephanie Price,Tom DiCampli,Brian Davis,Paul Meyer</t>
  </si>
  <si>
    <t>DBoR0001880</t>
  </si>
  <si>
    <t>An essential component of the governance model that confirms global compliance to FATCA and CRS across all LOBs and jurisdictions</t>
  </si>
  <si>
    <t>Dina Maxwell,Karen Track, Carol Lam</t>
  </si>
  <si>
    <t>DBoR0004291</t>
  </si>
  <si>
    <t xml:space="preserve">Documents relating to monitoring activities carried out by Privacy  </t>
  </si>
  <si>
    <t>DBoR0019642</t>
  </si>
  <si>
    <t>Document outlining procedure for regulatory change management.</t>
  </si>
  <si>
    <t>DBoR0019710</t>
  </si>
  <si>
    <t>Privacy collates closed privacy events from enterprise business lines, cross-jurisdictionally, on a monthly basis.</t>
  </si>
  <si>
    <t>Ursula Iten-Mcgrath,Roustakiani, Ozzy</t>
  </si>
  <si>
    <t>DBoR0019732</t>
  </si>
  <si>
    <t xml:space="preserve">The HIPAA Tool is a centralized repository that capture facts related to HIPAA Privacy Events that occur as TD fulfils its obligations as a Business Associate to Covered Entities. Data in scope includes: Employee Names, Lockbox Information (Lockbox Number, Business DDA), and remediation steps taken. </t>
  </si>
  <si>
    <t>Stephanie Price,Brian Davis,Paul Meyer</t>
  </si>
  <si>
    <t>DBoR0045479</t>
  </si>
  <si>
    <t>AODA Attestationass
Complaint Reporting (AMF)</t>
  </si>
  <si>
    <t>Alain Camirand,Irfana Jalal</t>
  </si>
  <si>
    <t>DBoR0002394</t>
  </si>
  <si>
    <t>DBoR0019661</t>
  </si>
  <si>
    <t>Project artifact</t>
  </si>
  <si>
    <t xml:space="preserve">Ursula Iten-Mcgrath, Lesa Goodall-Cross </t>
  </si>
  <si>
    <t>BPID-9551831</t>
  </si>
  <si>
    <t>DBoR0050437, DBoR0019790</t>
  </si>
  <si>
    <t>Monitoring of policies, standards, etc.</t>
  </si>
  <si>
    <t>Stephanie Price, Tom DiCampli</t>
  </si>
  <si>
    <t>The Privacy Event Management (PEM) Tool is a centralized repository for privacy events.   Data captured may include information like employee name or event details.</t>
  </si>
  <si>
    <t>Ursula Iten-Mcgrath,Paul Romain</t>
  </si>
  <si>
    <t>BPID-9551793</t>
  </si>
  <si>
    <t>DBoR0009120</t>
  </si>
  <si>
    <t>PE Assessment Database Sharepoint</t>
  </si>
  <si>
    <t>David Frank,Shernese Williams</t>
  </si>
  <si>
    <t>DBoR0048156</t>
  </si>
  <si>
    <t>Input-output files for LRR control coverage dashboard and Health metrics dataset</t>
  </si>
  <si>
    <t>Jelena Cokorilo,Jenna Ross</t>
  </si>
  <si>
    <t>DBoR0051111
DBoR0051112</t>
  </si>
  <si>
    <t xml:space="preserve">Colleciton of fines and penalties from Compliance Units for monitoring and reporting, </t>
  </si>
  <si>
    <t>Mimi Xue, Nadia Miller</t>
  </si>
  <si>
    <t>Reporting of Compliance FTE using stats provided by isk Business Management team. Information feeds board reporting</t>
  </si>
  <si>
    <t>Mimi Xue,Grace Few (Sarah Easto,Kajeth Chelliah)</t>
  </si>
  <si>
    <t>he primary purpose of this Program is to serve as  independent ("2b") oversight of the Global Compliance Department's execution of its mandate in conformance with the key elements and processes of the Regulatory Compliance Management (RCM) Framework and related standards, procedures, etc.  The scope includes Global and US.</t>
  </si>
  <si>
    <t>Shan-shan Bian,Vikram Iyer</t>
  </si>
  <si>
    <t>BPID-9488448</t>
  </si>
  <si>
    <t>DBoR0019708</t>
  </si>
  <si>
    <t>Shan-shan Bian,Caroline Chow</t>
  </si>
  <si>
    <t>DBoR0050490</t>
  </si>
  <si>
    <t>Shan-shan Bian,Stephanie Zambito</t>
  </si>
  <si>
    <t>DBoR0050491</t>
  </si>
  <si>
    <t>The primary purpose of this Program is to serve as  independent ("2b") oversight of the Global Compliance Department's execution of its mandate in conformance with the key elements and processes of the Regulatory Compliance Management (RCM) Framework and related standards, procedures, etc.  The scope includes Global and US.QAR Quarterly Summary Report of all completed reviews, issues/MUCs and issue validations.</t>
  </si>
  <si>
    <t>DBoR0019709</t>
  </si>
  <si>
    <t>Process to collect, assess and summarize information related to the exam management process including dissemination of audit finding listings to corresponding compliance units.</t>
  </si>
  <si>
    <t>David Frank,Pamela Woodard</t>
  </si>
  <si>
    <t>Documentation and activities to support the ORM pRCSA program</t>
  </si>
  <si>
    <t>David Frank,Renata MacIntosh</t>
  </si>
  <si>
    <t xml:space="preserve">We track all members of Compliance's completion rate of their MyCE Learning. We then send monthly reports to People Managers regarding their teams completion rates. </t>
  </si>
  <si>
    <t>Jelena Cokorilo,Jan Grofe</t>
  </si>
  <si>
    <t>DBoR0009117</t>
  </si>
  <si>
    <t>COC Oversight of Non-Compliance Oversight Functions.. 
COC Canada Portfolio Management Support Data:Data Corporate Office Compliance maintains related to supporting regulatory compliance oversight for Corporate Functions and maintaining a Credible Line of Sight over Non-Compliance Oversight Function Programs.</t>
  </si>
  <si>
    <t>Feroz Nasirudin,Justin Lim</t>
  </si>
  <si>
    <t>BPID-9488607</t>
  </si>
  <si>
    <t>DBoR0044450
DBoR0004973</t>
  </si>
  <si>
    <t>DBoR0050406</t>
  </si>
  <si>
    <t>Review and provide guidance/feedback on a diverse array of "Marketing" (term covers a broad array of materials).</t>
  </si>
  <si>
    <t>Yvonne Chang,Sarah Hicks</t>
  </si>
  <si>
    <t>BPID-9488753</t>
  </si>
  <si>
    <t>DBoR0019735
DBoR0050047</t>
  </si>
  <si>
    <t>Daily reviews for Individuals and Entities (non-issuer CTO :  Cease Trade Order)</t>
  </si>
  <si>
    <t>Yvonne Chang,Alex Oustinov</t>
  </si>
  <si>
    <t>DBoR0019690</t>
  </si>
  <si>
    <t>DBoR0050397</t>
  </si>
  <si>
    <t>Compliance Online Document Inventory (CODI) Review &amp; Attestation: 
Process to send monthly emails to advise CUs and/or Compliance Senior Executive Team (CSET) on the status of their Documents</t>
  </si>
  <si>
    <t>David Frank,Shernese Woodbine,Saurabh Sawant</t>
  </si>
  <si>
    <t>N/A - RCSA Non ID</t>
  </si>
  <si>
    <t>DBoR0019666</t>
  </si>
  <si>
    <t>FCAC filings required under the Supervisory Framework and/or Statutory Filing Requirements to the FCAC under the Bank/FCAC Acts. - Regulatory Complaints investigated - Regulatory Compliance Issues - Notice of Branch Closures - Public Accountability Statement - Banks' Report to the FCAC Commissioner - Directors' Report to FCAC Commissioner - Compliant Handling Procedure Update</t>
  </si>
  <si>
    <t>Nicki Bricker,Jill Nelles</t>
  </si>
  <si>
    <t>BPID-9488727</t>
  </si>
  <si>
    <t>DBoR0019815
DBoR0051345</t>
  </si>
  <si>
    <t>TDAAR</t>
  </si>
  <si>
    <t>Application Code</t>
  </si>
  <si>
    <t>EBOR</t>
  </si>
  <si>
    <t>EBOR ID</t>
  </si>
  <si>
    <r>
      <t xml:space="preserve">Application MAL code
</t>
    </r>
    <r>
      <rPr>
        <i/>
        <sz val="11"/>
        <color theme="1"/>
        <rFont val="Calibri"/>
        <family val="2"/>
        <scheme val="minor"/>
      </rPr>
      <t>(if applicable)</t>
    </r>
  </si>
  <si>
    <t>Data Supply Chain</t>
  </si>
  <si>
    <t>Models</t>
  </si>
  <si>
    <t xml:space="preserve">List what Data is Used and what are the Current Data Sources? 
(example for P01: </t>
  </si>
  <si>
    <t>MERLIN</t>
  </si>
  <si>
    <t>RCM</t>
  </si>
  <si>
    <t>EGRCL</t>
  </si>
  <si>
    <t>Reg Investigations</t>
  </si>
  <si>
    <t>REGSV</t>
  </si>
  <si>
    <t>Trade Surveillance</t>
  </si>
  <si>
    <t>OBA</t>
  </si>
  <si>
    <t>JIRA</t>
  </si>
  <si>
    <t>Salesforce relationship builder</t>
  </si>
  <si>
    <t>Complaints</t>
  </si>
  <si>
    <t>SMRT (Smarts) and TSCM (case manager)</t>
  </si>
  <si>
    <t>BEHAV</t>
  </si>
  <si>
    <t>CNTRM</t>
  </si>
  <si>
    <t>Actimize (TCOM)</t>
  </si>
  <si>
    <t>REDS-GRS-TDW</t>
  </si>
  <si>
    <t>REDS-OBA-TDW-EPOCH UK</t>
  </si>
  <si>
    <t>REDS-PIA</t>
  </si>
  <si>
    <t>REDS-GRS-UKEPOCH</t>
  </si>
  <si>
    <t>P72</t>
  </si>
  <si>
    <t>P73</t>
  </si>
  <si>
    <t>P74</t>
  </si>
  <si>
    <t>P75</t>
  </si>
  <si>
    <t>P76</t>
  </si>
  <si>
    <t>P77</t>
  </si>
  <si>
    <t>P78</t>
  </si>
  <si>
    <t>P79</t>
  </si>
  <si>
    <t>Mudassar Saaed</t>
  </si>
  <si>
    <t>Red Font: Updates made in July 2026</t>
  </si>
  <si>
    <r>
      <t xml:space="preserve">Process Documentation
</t>
    </r>
    <r>
      <rPr>
        <b/>
        <sz val="10"/>
        <color rgb="FFFF0000"/>
        <rFont val="Calibri"/>
        <family val="2"/>
        <scheme val="minor"/>
      </rPr>
      <t>NOTE: Data in this section populates all other tabs</t>
    </r>
  </si>
  <si>
    <t>Assessment of High Risk Processes</t>
  </si>
  <si>
    <t>Assessment of Data</t>
  </si>
  <si>
    <t>Prioritization Score</t>
  </si>
  <si>
    <t>Model Assessment</t>
  </si>
  <si>
    <t>Executive</t>
  </si>
  <si>
    <r>
      <t xml:space="preserve">Application MAL code
</t>
    </r>
    <r>
      <rPr>
        <i/>
        <sz val="10"/>
        <color theme="1"/>
        <rFont val="Calibri"/>
        <family val="2"/>
        <scheme val="minor"/>
      </rPr>
      <t>(if applicable)</t>
    </r>
  </si>
  <si>
    <r>
      <t xml:space="preserve">pRCSA Reference Number 
</t>
    </r>
    <r>
      <rPr>
        <i/>
        <sz val="10"/>
        <color theme="1"/>
        <rFont val="Calibri"/>
        <family val="2"/>
        <scheme val="minor"/>
      </rPr>
      <t>(if applicable)</t>
    </r>
  </si>
  <si>
    <r>
      <t>pRCSA rating</t>
    </r>
    <r>
      <rPr>
        <i/>
        <sz val="10"/>
        <color theme="1"/>
        <rFont val="Calibri"/>
        <family val="2"/>
        <scheme val="minor"/>
      </rPr>
      <t xml:space="preserve"> (if applicable)</t>
    </r>
  </si>
  <si>
    <t>SOX relevant (Yes/No)</t>
  </si>
  <si>
    <t>Regulatory Reporting</t>
  </si>
  <si>
    <t>Risk Data Aggregation</t>
  </si>
  <si>
    <t>Financial / SOX / Budget</t>
  </si>
  <si>
    <t>Critical to LOB Operations &amp; Executive Decision-making</t>
  </si>
  <si>
    <t>Structured Data</t>
  </si>
  <si>
    <t>Digital Crown Jewels</t>
  </si>
  <si>
    <t>Would benefit from DQ</t>
  </si>
  <si>
    <t>Model IDs</t>
  </si>
  <si>
    <t>What Data is Used?/ Current Data Sources?</t>
  </si>
  <si>
    <r>
      <rPr>
        <sz val="11"/>
        <color rgb="FF000000"/>
        <rFont val="Calibri"/>
        <family val="2"/>
        <scheme val="minor"/>
      </rPr>
      <t xml:space="preserve">Monitoring and identification of new LRRs for inclusion in TD’s book of record for all regulatory compliance LRRs that apply to TD ("Global Regulatory Inventory")
</t>
    </r>
    <r>
      <rPr>
        <sz val="11"/>
        <color rgb="FFFF0000"/>
        <rFont val="Calibri"/>
        <family val="2"/>
        <scheme val="minor"/>
      </rPr>
      <t>Determination of applicability of LRR to BUs and mapping applicable LRRs to Bus
Mapping of controls to LRRs at the appropriate level of granularity.</t>
    </r>
    <r>
      <rPr>
        <sz val="11"/>
        <color rgb="FF000000"/>
        <rFont val="Calibri"/>
        <family val="2"/>
        <scheme val="minor"/>
      </rPr>
      <t>"</t>
    </r>
    <r>
      <rPr>
        <sz val="11"/>
        <rFont val="Calibri"/>
        <family val="2"/>
        <scheme val="minor"/>
      </rPr>
      <t xml:space="preserve">
Compliance Transformation, Road to Strong, 04. Regulatory Control Inventory</t>
    </r>
  </si>
  <si>
    <t>Global Compliance Governance &amp; Assurance</t>
  </si>
  <si>
    <t>Medium</t>
  </si>
  <si>
    <t>High</t>
  </si>
  <si>
    <t>P15</t>
  </si>
  <si>
    <t xml:space="preserve">Compliance Reg Svcs Mutual Funds Reps (CRSMF) </t>
  </si>
  <si>
    <t>Front end user interface for registration data listing all securities and insurance licensed employees under the TD Asset Management, Canadian Banking, Insurance, Wealth (Waterhouse), and TD Securities lines of business.</t>
  </si>
  <si>
    <t>Danielle Lin (Not Applicable), Not Applicable,Deactivated</t>
  </si>
  <si>
    <t>CRSMF</t>
  </si>
  <si>
    <t>INACTIVE /REMOVE</t>
  </si>
  <si>
    <t>Pending</t>
  </si>
  <si>
    <r>
      <t xml:space="preserve">Via the </t>
    </r>
    <r>
      <rPr>
        <strike/>
        <sz val="11"/>
        <color rgb="FF000000"/>
        <rFont val="Calibri"/>
        <family val="2"/>
        <scheme val="minor"/>
      </rPr>
      <t xml:space="preserve">HR </t>
    </r>
    <r>
      <rPr>
        <sz val="11"/>
        <color rgb="FF000000"/>
        <rFont val="Calibri"/>
        <family val="2"/>
        <scheme val="minor"/>
      </rPr>
      <t xml:space="preserve">OBA portal, the "recommend" or "not recommend" response is recorded along with any conditions. </t>
    </r>
  </si>
  <si>
    <t>P44</t>
  </si>
  <si>
    <t>CASL Chatbot</t>
  </si>
  <si>
    <t>Interactive tool with responses to basic questions.</t>
  </si>
  <si>
    <t>yes</t>
  </si>
  <si>
    <t>Prioritization Scope Assessment</t>
  </si>
  <si>
    <t>In-scope for Planning</t>
  </si>
  <si>
    <t>Rationale for Excluding Process from Scope</t>
  </si>
  <si>
    <t>What Data is used?</t>
  </si>
  <si>
    <t>Current Data Sources?</t>
  </si>
  <si>
    <t>Not applicable</t>
  </si>
  <si>
    <r>
      <rPr>
        <strike/>
        <sz val="11"/>
        <rFont val="Calibri"/>
        <family val="2"/>
        <scheme val="minor"/>
      </rPr>
      <t>Toni Ferger /</t>
    </r>
    <r>
      <rPr>
        <sz val="11"/>
        <rFont val="Calibri"/>
        <family val="2"/>
        <scheme val="minor"/>
      </rPr>
      <t xml:space="preserve"> Mark Desautels</t>
    </r>
  </si>
  <si>
    <t>David Burrows/John Fok</t>
  </si>
  <si>
    <t>Chris MacLaren/Jill Nelles</t>
  </si>
  <si>
    <t>Use of JIRA is temporary until MERLIN updates are completed.</t>
  </si>
  <si>
    <t>Danielle Lin / Not Applicable/Deactivated</t>
  </si>
  <si>
    <t>Jason Le / Phil Vallee</t>
  </si>
  <si>
    <t>Beverley Smyk / Sarmad Shaikh / Ariana Prasad</t>
  </si>
  <si>
    <r>
      <rPr>
        <sz val="11"/>
        <color rgb="FFFF0000"/>
        <rFont val="Calibri"/>
        <family val="2"/>
        <scheme val="minor"/>
      </rPr>
      <t>Sally Kwon/</t>
    </r>
    <r>
      <rPr>
        <sz val="11"/>
        <color theme="1"/>
        <rFont val="Calibri"/>
        <family val="2"/>
        <scheme val="minor"/>
      </rPr>
      <t>Gaetano Scaramuzza, Duane Penney</t>
    </r>
  </si>
  <si>
    <t>Sally Kwon/Amanda Mazza/Asghar Hussain</t>
  </si>
  <si>
    <r>
      <rPr>
        <sz val="11"/>
        <color rgb="FF000000"/>
        <rFont val="Calibri"/>
        <family val="2"/>
        <scheme val="minor"/>
      </rPr>
      <t xml:space="preserve">Via the </t>
    </r>
    <r>
      <rPr>
        <strike/>
        <sz val="11"/>
        <color rgb="FF000000"/>
        <rFont val="Calibri"/>
        <family val="2"/>
        <scheme val="minor"/>
      </rPr>
      <t xml:space="preserve">HR </t>
    </r>
    <r>
      <rPr>
        <sz val="11"/>
        <color rgb="FF000000"/>
        <rFont val="Calibri"/>
        <family val="2"/>
        <scheme val="minor"/>
      </rPr>
      <t xml:space="preserve">OBA portal, the "recommend" or "not recommend" response is recorded along with any conditions. </t>
    </r>
    <r>
      <rPr>
        <strike/>
        <sz val="11"/>
        <color rgb="FF000000"/>
        <rFont val="Calibri"/>
        <family val="2"/>
        <scheme val="minor"/>
      </rPr>
      <t>Within Wealth Compliance, we have established a tracker for OBAs given the current system limitations.</t>
    </r>
  </si>
  <si>
    <t>Yvonne Chang/Sarah Hicks/Jon Jordan</t>
  </si>
  <si>
    <r>
      <rPr>
        <sz val="11"/>
        <color rgb="FFFF0000"/>
        <rFont val="Calibri"/>
        <family val="2"/>
        <scheme val="minor"/>
      </rPr>
      <t>Yvonne Chang/</t>
    </r>
    <r>
      <rPr>
        <sz val="11"/>
        <color theme="1"/>
        <rFont val="Calibri"/>
        <family val="2"/>
        <scheme val="minor"/>
      </rPr>
      <t xml:space="preserve">Eileen di Cenzo
</t>
    </r>
    <r>
      <rPr>
        <sz val="11"/>
        <color rgb="FFFF0000"/>
        <rFont val="Calibri"/>
        <family val="2"/>
        <scheme val="minor"/>
      </rPr>
      <t>Yvonne Chang/Isar Ahmad</t>
    </r>
  </si>
  <si>
    <r>
      <rPr>
        <sz val="11"/>
        <color rgb="FFFF0000"/>
        <rFont val="Calibri"/>
        <family val="2"/>
        <scheme val="minor"/>
      </rPr>
      <t>Yvonne Chang/</t>
    </r>
    <r>
      <rPr>
        <sz val="11"/>
        <color theme="1"/>
        <rFont val="Calibri"/>
        <family val="2"/>
        <scheme val="minor"/>
      </rPr>
      <t>Eileen di Cenzo</t>
    </r>
  </si>
  <si>
    <t>NOTE RE: SCORE: The responses in RED were updated to reflect that these are customer-facing processes prioritized by CSET and regulators.</t>
  </si>
  <si>
    <t>Soheila Satei/Alain Camirand</t>
  </si>
  <si>
    <t>TBD</t>
  </si>
  <si>
    <r>
      <t xml:space="preserve">April Harvey/ Shaun McDevitt (Data Council)/ </t>
    </r>
    <r>
      <rPr>
        <sz val="11"/>
        <color rgb="FFFF0000"/>
        <rFont val="Calibri"/>
        <family val="2"/>
        <scheme val="minor"/>
      </rPr>
      <t>Chris Johnson</t>
    </r>
  </si>
  <si>
    <r>
      <rPr>
        <strike/>
        <sz val="11"/>
        <color theme="1"/>
        <rFont val="Calibri"/>
        <family val="2"/>
        <scheme val="minor"/>
      </rPr>
      <t xml:space="preserve">Rhonda Clayton Chavis / </t>
    </r>
    <r>
      <rPr>
        <sz val="11"/>
        <color theme="1"/>
        <rFont val="Calibri"/>
        <family val="2"/>
        <scheme val="minor"/>
      </rPr>
      <t xml:space="preserve">??? </t>
    </r>
  </si>
  <si>
    <t>Stephanie Price/Tom DiCampli/Brian Davis/Paul Meyer</t>
  </si>
  <si>
    <t>Dina Maxwell/Karen Track/ Carol Lam</t>
  </si>
  <si>
    <t>No qualitative or quantitative data at present to measure.</t>
  </si>
  <si>
    <t>Not a process. Listed in DBOR as a data asset.</t>
  </si>
  <si>
    <t>Ursula Iten-Mcgrath/Roustakiani, Ozzy</t>
  </si>
  <si>
    <t>Stephanie Price/Brian Davis/Paul Meyer</t>
  </si>
  <si>
    <t>Alain Camirand/Irfana Jalal</t>
  </si>
  <si>
    <t xml:space="preserve">Ursula Iten-Mcgrath/ Lesa Goodall-Cross </t>
  </si>
  <si>
    <t>Tom DiCampli</t>
  </si>
  <si>
    <t>Process for monitoring policies, standards, etc. that do not meet data management activity criteria.</t>
  </si>
  <si>
    <t>Ursula Iten-Mcgrath/Paul Romain</t>
  </si>
  <si>
    <t>David Frank/Shernese Williams</t>
  </si>
  <si>
    <t>Jelena Cokorilo/Jenna Ross</t>
  </si>
  <si>
    <t>Mimi Xue/ Nadia Miller</t>
  </si>
  <si>
    <t>Mimi Xue/Grace Few (Sarah Easto/Kajeth Chelliah)</t>
  </si>
  <si>
    <t>Shan-shan Bian/Vikram Iyer</t>
  </si>
  <si>
    <t>Shan-shan Bian/Caroline Chow</t>
  </si>
  <si>
    <t>Shan-shan Bian/Stephanie Zambito</t>
  </si>
  <si>
    <t>David Frank/Pamela Woodard</t>
  </si>
  <si>
    <t>David Frank/Renata MacIntosh</t>
  </si>
  <si>
    <t>Jelena Cokorilo/Jan Grofe</t>
  </si>
  <si>
    <t>Feroz Nasirudin/Justin Lim</t>
  </si>
  <si>
    <t>Yvonne Chang/Sarah Hicks</t>
  </si>
  <si>
    <t>Yvonne Chang/Alex Oustinov</t>
  </si>
  <si>
    <t>David Frank/Shernese Woodbine/Saurabh Sawant</t>
  </si>
  <si>
    <t>Nicki Bricker/Jill Nelles</t>
  </si>
  <si>
    <t>Global TDS Surveillance Alert Escalation</t>
  </si>
  <si>
    <t xml:space="preserve">This process provides the framework for the review and analysis of trade surveillance alerts escalated by Global Trade Surveillance.  Results may result in filing a report to the local regulator.  It is a systematic, repeatable process of reviewing the escalated alert to identify potential Market Abuse Behaviours. </t>
  </si>
  <si>
    <t>BPID-9488764</t>
  </si>
  <si>
    <t>BPID-9488934</t>
  </si>
  <si>
    <t>Europe &amp; UK Broker Inquiries</t>
  </si>
  <si>
    <t>Ensure that all queries from our Broker counterparties are responded to so it reduces the risk of damaging its commercial relationship with its liquidity providers whilst enhancing and complementing its ongoing market surveillance</t>
  </si>
  <si>
    <t>BPID-9488783</t>
  </si>
  <si>
    <t>Europe &amp; UK TDS Regulatory Filings</t>
  </si>
  <si>
    <t xml:space="preserve">Prepare and submit annual filings to various regulators </t>
  </si>
  <si>
    <t>BPID-9488921</t>
  </si>
  <si>
    <t>Global TDS Control Room (Personal Trading)</t>
  </si>
  <si>
    <t>This process provides the framework for the preclearance and monitoring of employee trades according to the Control Room Personal Trading Policy and Information Barriers Policy.</t>
  </si>
  <si>
    <t>BPID-9488917</t>
  </si>
  <si>
    <t>BPID-9488925</t>
  </si>
  <si>
    <t>eComms Surveillance - ensuring any incoming or outgoing emails/electronic communications are in accordance to internal compliance policies.</t>
  </si>
  <si>
    <t>BPID-9488923</t>
  </si>
  <si>
    <t>Regional Policy Maintenance</t>
  </si>
  <si>
    <t>Periodic review and update of local policies.</t>
  </si>
  <si>
    <t>BPID-9488918</t>
  </si>
  <si>
    <t>TDS Europe and UK Employee Certification and Approvals</t>
  </si>
  <si>
    <t>This process involves the registrations activities concerning TDS UK and Ireland certified employees. This includes initial registrations, changes, deregistrations, and Senior Manager Function (SMF)/Preapproval Controlled Function (PCF) approvals.</t>
  </si>
  <si>
    <t>BPID-9488922</t>
  </si>
  <si>
    <t>REDS</t>
  </si>
  <si>
    <t>DRDC Asset Id.</t>
  </si>
  <si>
    <t>Registered Employee Directory Services</t>
  </si>
  <si>
    <t>DBoR0007086 </t>
  </si>
  <si>
    <t>DBoR0050459</t>
  </si>
  <si>
    <t>Personal Trading and List Management System</t>
  </si>
  <si>
    <t xml:space="preserve">INSTRUCTIONS: </t>
  </si>
  <si>
    <t>Step 4 - If any processes or applications are not currently captured, please add them as new records in the spreadsheet.</t>
  </si>
  <si>
    <r>
      <rPr>
        <b/>
        <sz val="10"/>
        <rFont val="Calibri"/>
        <family val="2"/>
        <scheme val="minor"/>
      </rPr>
      <t xml:space="preserve">Identify the data currently being used and document the corresponding source systems. </t>
    </r>
    <r>
      <rPr>
        <b/>
        <sz val="10"/>
        <color rgb="FF000000"/>
        <rFont val="Calibri"/>
        <family val="2"/>
        <scheme val="minor"/>
      </rPr>
      <t xml:space="preserve">
</t>
    </r>
    <r>
      <rPr>
        <b/>
        <sz val="10"/>
        <color rgb="FFFF0000"/>
        <rFont val="Calibri"/>
        <family val="2"/>
        <scheme val="minor"/>
      </rPr>
      <t>Example: 
[ Name of Data Used] from [Name of System/Application/Share Point/EUC/Dashboard]</t>
    </r>
  </si>
  <si>
    <t>Step 3 - Identify the data currently used within each process and document the corresponding source systems in Column L .</t>
  </si>
  <si>
    <t>Mamta Sharma</t>
  </si>
  <si>
    <t>Jeffrey Loeb</t>
  </si>
  <si>
    <t>Anthony Hird</t>
  </si>
  <si>
    <t>Alexis Cupo</t>
  </si>
  <si>
    <t xml:space="preserve">1. Perform research for Grey &amp; Restricted Lists.
2. Maintain Grey &amp; Restricted Lists.
3. Pre-Clearing of Personal Trading. Review trading requests against the Grey List to determine whether the employee is permitted to trade.
The TDS Global Control Room manages the TDS Grey &amp; Restricted Lists for all Material Non-Public Information (MNPI) related deals flagged on public and private companies identified by the first line (ex. Corporate Investment Banking, Equity Capital Markets, etc.). The process also involves assessing the deals for any internal violations to be escalated. </t>
  </si>
  <si>
    <t>Mamta Sharma , Sarmad Shaikh , Ariana Prasad</t>
  </si>
  <si>
    <t xml:space="preserve">Managing the entity and individual registrations required to conduct business and trade specific products in Canada and to comply with CIRO and MX regulatory requirements.
The team manages the registrations activities concerning TDSI firm and individuals. This includes processing the filings for initial registrations, reinstatements, reactivations, material changes to information and terminations. </t>
  </si>
  <si>
    <t>DBoR0050883</t>
  </si>
  <si>
    <t>DBoR0050405</t>
  </si>
  <si>
    <t>DBoR0050674</t>
  </si>
  <si>
    <t>Complaints (TDS Institutional Equities)</t>
  </si>
  <si>
    <t>DBoR0050382</t>
  </si>
  <si>
    <t>DBoR0050584
DBoR0050375</t>
  </si>
  <si>
    <t>Mamta Sharma, Ora Chen</t>
  </si>
  <si>
    <t>DBoR0051163
DBoR0049867</t>
  </si>
  <si>
    <t>DBoR0050853
DBoR0050963
DBoR0050962</t>
  </si>
  <si>
    <t>Alistair Wellman</t>
  </si>
  <si>
    <t xml:space="preserve">Evelyn Koh, Mavis Chan </t>
  </si>
  <si>
    <t>Evelyn Koh, Natarajan Hariharan</t>
  </si>
  <si>
    <t>Alistair Wellman, Jarrod Hakker</t>
  </si>
  <si>
    <t>Step 1 - Please review and validate the existing processes [columns B&amp;C] identified for your team. Confirm their applicability by providing your inputs in the same cells. Leverage column M [Comments] to clarify entries made or provide additional context.</t>
  </si>
  <si>
    <t>Step 2 - Review and validate the applications identified for your team. Confirm their applicability by providing your inputs in the same cells. Please leverage column M [Comments] to clarify entries made.</t>
  </si>
  <si>
    <t>Step 5 - Add new records for any processes where you may be looking to capture data that will enable strengthen risk management practices (e.g. Key Risk Indicators, ongoing monitoring, etc). Please use the Comments column (Column M) to provide additional context or clarification for your entries</t>
  </si>
  <si>
    <t>Step 6 - Once you have completed your review, please confirm that all required updates have been incorporated.</t>
  </si>
  <si>
    <t>Please do not modify this column</t>
  </si>
  <si>
    <t>DBoR0019871</t>
  </si>
  <si>
    <t>DBoR0005057</t>
  </si>
  <si>
    <t>DBoR0050458
DBoR0005056
DBoR0050382</t>
  </si>
  <si>
    <t>DBoR0008798</t>
  </si>
  <si>
    <t>DBoR0050651</t>
  </si>
  <si>
    <t>DBoR0050377 </t>
  </si>
  <si>
    <t xml:space="preserve">DBoR0002408
DBoR0002403
DBoR0002486
DBoR0051306
DBoR0002403 </t>
  </si>
  <si>
    <t>CRIS</t>
  </si>
  <si>
    <t>Control Room Information System</t>
  </si>
  <si>
    <t>DBoR0049184 </t>
  </si>
  <si>
    <t>Evelyn Koh</t>
  </si>
  <si>
    <t>Not Applicable to REDS</t>
  </si>
  <si>
    <t xml:space="preserve">NOTE: </t>
  </si>
  <si>
    <t>Please note that your inventory listing may or may not include the Regulatory Compliance Management (RCM) processes (see the full list below). Any RCM processes identified will be reviewed and addressed by the RCM Standard Owner (i.e, the designated RCM process owner).</t>
  </si>
  <si>
    <t xml:space="preserve">RCM PROCESSES: Global Regulatory Inventory &amp; Control; Issues Management; Monitoring &amp; Testing;Regulatory Change; Regulatory Compliance Management (RCM) Risk Assessment; RCM CCO Reporting (Board Reporting - CCO Opinion reporting); RCM Program Effectiveness Assessment (PEA); Compliance Controls - Road to Strong </t>
  </si>
  <si>
    <t>If you do not own any RCM Standard document/process, please focus on processes that are specific to your business unit and fall outside of the RCM Standards. Identify the systems, data, and information that are unique to  your team and critical to the execution of your processes (For example, the  Privacy Impact Assessment (PIA) is a process specific to the Privacy team)</t>
  </si>
  <si>
    <t>Manage updates to BU x LRR applicability; Extract controls data or update Compliance-owned controls data</t>
  </si>
  <si>
    <t>LRR Inventory</t>
  </si>
  <si>
    <t xml:space="preserve">Staff often needs to request BoR data for sampling purposes in cases that an obligation is triggered upon the effecting of a transaction. </t>
  </si>
  <si>
    <t>1. Compliance M&amp;T performs risk-based monitoring and testing to assess adherence to applicable laws/rules/regulations (LRRs) and internal requirements.
2 Compliance Testing Lifecycle includes: planning, fieldwork, reporting and issues management (Issue identification, remediation and validation).</t>
  </si>
  <si>
    <t>Review of Attestations, Private investments and Trading Violations</t>
  </si>
  <si>
    <t>Advisory Compliance answers questions for the business about whether they are permitted to take certain actions in accordance with TDS policies and procedures and regulation. Advisory Compliance reviews the regulatory enforcement landscape and identifies AWCs / fines issued by various regulators to ensure TDS has an effective control environment and identifies any potential gaps.</t>
  </si>
  <si>
    <t>Lauren Freundlich</t>
  </si>
  <si>
    <t>Advisory</t>
  </si>
  <si>
    <t>Advisory Compliance consults with Reg Relations team to ensure complete and accurate responses to FINRA inquiries on past deals</t>
  </si>
  <si>
    <t>Advisory Compliance is responsible for the identification, assessment, monitoring, tracking, and reporting of compliance issues.</t>
  </si>
  <si>
    <t>Team responsible for drafting policies and maintaining policy and procedure invesntories and intranet posting with current policies and procedures</t>
  </si>
  <si>
    <t>Carla Copeland</t>
  </si>
  <si>
    <t>Regulatory Inquiry Response - Team members query multiple trading systems to compile a list of orders, routes, cancels, executions, etc. for certain securities and certain day ranges</t>
  </si>
  <si>
    <t>Aaron Davis</t>
  </si>
  <si>
    <t>Compliance reviews order and trade activity to understand business trading behavior, investigate issues, respond to inquiries, or support supervisory and thematic reviews. Users analyze trading activity and execution patterns to contextualize firm activity.</t>
  </si>
  <si>
    <t>Option position and exercise monitoring listed and OTC</t>
  </si>
  <si>
    <t>Review and analyze similar policies across different jurisdictions to review the difference in rules/function when determining cross jurisdiction impact/process</t>
  </si>
  <si>
    <t>Damian Firsching</t>
  </si>
  <si>
    <t>Regulatory Change, Current Regulations &amp; Regulatory Focus - Regulators publish reg change proposals, discussion docs and final rules to their websites. In addition they also publish annual priorities to advise firm's of where their focus is that is instructive when considering our own compliance program.</t>
  </si>
  <si>
    <t>Policies and procedures documents FROM CODI, TDS Compliance Intranet page, TD US Governance Repository, Shared drive</t>
  </si>
  <si>
    <t>Polices and procedures FROM CODI</t>
  </si>
  <si>
    <t>Options positions FROM Broadridge &amp; Sophis</t>
  </si>
  <si>
    <t>Order and trade data FROM Maverick</t>
  </si>
  <si>
    <t>Proposed rule changes and discussion docs Notice to Members
Current regulations, FAQs, Notices to Members
Regulators Annual Priorities communications FROM Regulators websites, Law firm memos, Federal Register, Internal TD Reg Change Announcements</t>
  </si>
  <si>
    <t>Checklists, matrixes, audit and testing findings, issues, complaints FROM eGRC ServiceNow, Merlin, SNOW, Compliance Issues Management SharePoint,  Complaint Tracker housed on Registrations' N-Drive</t>
  </si>
  <si>
    <t>Gifts and Business reporting</t>
  </si>
  <si>
    <t>BU hierarchy, LRR inventory FROM MERLIN</t>
  </si>
  <si>
    <t xml:space="preserve">Trade Surveillance Alerts, Trade and Order Data FROM SMARTS, Trading Hub, ActOne
</t>
  </si>
  <si>
    <t>Employee investment accounts, headcount reports FROM REDS</t>
  </si>
  <si>
    <t>Personal trading from STAR Compliance</t>
  </si>
  <si>
    <t>Registration information from REDS</t>
  </si>
  <si>
    <t>Employee trading FROM CRIS</t>
  </si>
  <si>
    <t>SMARTS; Trading Hub; ActOne (Actimize); Bloomberg; SharePoint</t>
  </si>
  <si>
    <t>Trade surveillance alerts FROM SMARTS, Trading Hub, in-house surveillance models
Trade and order (transaction) data FROM vendor platforms, internal source systems
Market and reference data FROM Bloomberg, internal source systems
Entity data FROM internal systems
Case history and dispositions FROM ActOne
News and corporate filings FROM web
Desktop procedures FROM team SharePoint</t>
  </si>
  <si>
    <t>Updated from 2026 Compliance AI data survey (Alert Disposition workflow). E-comms alerts are covered under P19.</t>
  </si>
  <si>
    <t>Behavox; ActOne (Actimize)</t>
  </si>
  <si>
    <t>Communications surveillance alerts and electronic communications FROM Behavox
Case history and dispositions FROM ActOne</t>
  </si>
  <si>
    <t>Updated from 2026 Compliance AI data survey (Alert Disposition workflow).</t>
  </si>
  <si>
    <t>Star Compliance; DealTraxx; CMPLY</t>
  </si>
  <si>
    <t>Deal information FROM Star Compliance, DealTraxx, CMPLY
Grey / restricted list entries FROM Star Compliance</t>
  </si>
  <si>
    <t>AVP updated from Anthony Hird to Jeffrey Loeb (current team lead). Anthony Hird kept as Process Owner. Systems added from GCR survey tab.</t>
  </si>
  <si>
    <t>Description references Global Control Room; AVP kept as Mamta Sharma. Confirm ownership vs P75 (GCR Personal Trading, Jeffrey Loeb).</t>
  </si>
  <si>
    <t>CIRO portals; MX-R Connect; MERLIN; ServiceNow; REDS; Behavox; ActOne (Actimize)</t>
  </si>
  <si>
    <t>Regulator requests, RFIs and responses FROM Outlook, shared folders, regulator portals (CIRO Services, CIRO ShareFile, MX-R Connect, CIRO MTRS)
Regulatory exam log FROM Regulatory Exam Logs (shared folder)
Supporting data (scope dependent) FROM GRS, REDS, OBA, TD Mainframe, ISM (Kyndryl), Behavox, ServiceNow, MERLIN, ActOne, Raptor, GoldTier, TATIE, Calypso / FIS blotters, MX Options Report
Stakeholder inputs FROM Compliance, RSM, Front Office, TDSI Operations, Prime Brokerage (PB positions and statements), TDW-TDSI fails and buy-in reports
Inquiries rated 'High' and investigations FROM MERLIN
Desktop procedures FROM team shared folder</t>
  </si>
  <si>
    <t>AVP updated from Alexis Cupo to Mamta Sharma (current team lead). Alexis Cupo kept as Process Owner. Updated from 2026 Compliance AI data survey (Canada - Regulatory Engagement).</t>
  </si>
  <si>
    <t>Excel; ServiceNow (future state)</t>
  </si>
  <si>
    <t>Regulator inquiries and responses FROM email, shared drives, regulator platforms
Regulatory findings owned by / impacting US Wholesale FROM Excel tracker (future state: ServiceNow)
High / critical audit findings FROM Excel tracker
Personnel home addresses for FINRA chronology requests FROM HR data (Excel)</t>
  </si>
  <si>
    <t>Updated from 2026 Compliance AI data survey (Core - Regulatory Relations). Team need: a single repository of regulatory inquiries and responses with appropriate permissioning.</t>
  </si>
  <si>
    <t>Paul Murphy</t>
  </si>
  <si>
    <t>SharePoint; Shared drives</t>
  </si>
  <si>
    <t>Regulator inquiries and responses FROM email, UK / Ireland shared drives and SharePoint, regulator platforms
Supporting data (request dependent) FROM internal documents, product books &amp; records systems</t>
  </si>
  <si>
    <t>AVP updated from Alistair Wellman to Paul Murphy (current team lead). Updated from 2026 Compliance AI data survey (UK&amp;I - Reg Relations).</t>
  </si>
  <si>
    <t>AVP updated from Deirdre Grier (Ireland) to Paul Murphy (current team lead). Updated from 2026 Compliance AI data survey (UK&amp;I - Reg Relations).</t>
  </si>
  <si>
    <t>Regulator platforms; Shared drive</t>
  </si>
  <si>
    <t>Regulatory correspondence to / from regulators (topic dependent) FROM email, regulator platforms, shared drive
Regular and ad hoc regulatory submissions FROM email, regulator platforms, shared drive</t>
  </si>
  <si>
    <t>Updated from 2026 Compliance AI data survey (APAC - Regulatory correspondences; Regulatory submissions).</t>
  </si>
  <si>
    <t>Registration information FROM REDS
Applicant forms (New Applicant, Exchange, Termination) and registration database FROM Excel, team shared folder
Regulator public records FROM CSA Registrant Search, CIRO Advisory Reports, FINRA BrokerCheck, OSC, AMF
Registration filings FROM NRD, CIRO Exam Hub (Fitch Learning), CIRO Services Portal, MX-R Connect
Applicant communications FROM Outlook
Supporting data FROM GRS, OBA system, TD Mainframe, ISM (Kyndryl), Behavox
Inputs FROM Compliance, Legal, GMBC, HR, L&amp;D</t>
  </si>
  <si>
    <t>Updated from 2026 Compliance AI data survey (Canada - Registration Monitoring). Other applications: NRD, CIRO portals, MX-R Connect, GRS, OBA system.</t>
  </si>
  <si>
    <t>Registration information FROM REDS
Registered reps, FINRA supervisors, licensing and location FROM Registrations monthly report / RR tracker (Excel)
Branch and supervisor registration records FROM FINRA Gateway</t>
  </si>
  <si>
    <t>Updated from 2026 Compliance AI data survey (Core - Branch Inspections).</t>
  </si>
  <si>
    <t>Registrations and SMF / PCF records - HR data FROM Workday, Excel
Supporting information FROM UK / Ireland shared drives and SharePoint</t>
  </si>
  <si>
    <t>AVP updated from Emer Keating to Paul Murphy (current team lead). Emer Keating kept as Process Owner.</t>
  </si>
  <si>
    <t>Registration information FROM REDS
MAS / SGX representative licensing inputs and documentation FROM MAS-TX, RED system, Excel
HKMA licensing / temporary reps, registration and disciplinary records FROM HKMA Registration Portal, regulator websites, RED system
Change notifications (corporate info, Board of Directors, TDHK registered persons) FROM HKMA Registration Portal, SFC WINGS, HO Legal inputs</t>
  </si>
  <si>
    <t>Updated from 2026 Compliance AI data survey (APAC - Licensing and Registration; Notification of Changes). Other applications: MAS-TX, HKMA Registration Portal, SFC WINGS.</t>
  </si>
  <si>
    <t>AVP updated from Alistair Wellman to Paul Murphy (current team lead). Data and source systems not captured in the 2026 survey - to confirm with UK&amp;I.</t>
  </si>
  <si>
    <t>Excel; product books &amp; records systems</t>
  </si>
  <si>
    <t>Regulatory filing data (varies by filing) FROM front office stakeholders via email, product books &amp; records systems
Filing templates FROM Excel (mirroring regulator filing website fields)</t>
  </si>
  <si>
    <t>AVP updated from Alistair Wellman to Paul Murphy (current team lead). Updated from 2026 Compliance AI data survey (UK&amp;I - Regulatory Filings).</t>
  </si>
  <si>
    <t>CODI; SharePoint</t>
  </si>
  <si>
    <t>Reg requirements FROM regulatory websites
Policy documents FROM UK / Ireland shared drives and SharePoint, CODI SharePoint</t>
  </si>
  <si>
    <t>AVP updated from Alistair Wellman to Paul Murphy (current team lead). Updated from 2026 Compliance AI data survey (UK&amp;I - Policies and Procedures).</t>
  </si>
  <si>
    <t>Registration information FROM REDS
HR data for SMF / PCF approvals FROM Workday</t>
  </si>
  <si>
    <t>AVP updated from Alistair Wellman to Paul Murphy (current team lead).</t>
  </si>
  <si>
    <t>Data and source systems not captured in the 2026 survey - to confirm with Canada.</t>
  </si>
  <si>
    <t>RCM process - to be reviewed by the RCM Standard Owner. Team note: business unit hierarchy in MERLIN is inconsistent with what the business recognizes (needs normalization).</t>
  </si>
  <si>
    <t>Branch Inspections - Gifts &amp; Business Entertainment</t>
  </si>
  <si>
    <t>Coupa</t>
  </si>
  <si>
    <t>Gifts and business entertainment aggregation FROM Coupa</t>
  </si>
  <si>
    <t>Process name made specific; remaining Branch Inspection reviews added as a new row.</t>
  </si>
  <si>
    <t>Branch Inspections - Attestations, Private Investments &amp; Trading Violations</t>
  </si>
  <si>
    <t>Star Compliance</t>
  </si>
  <si>
    <t>Attestations, private investments and trading violations FROM Star Compliance</t>
  </si>
  <si>
    <t>Process name made specific.</t>
  </si>
  <si>
    <t>Monitoring &amp; Testing - Books of Record Data for Sampling</t>
  </si>
  <si>
    <t>Sophis; Calypso; Murex; WEX; Bloomberg; PETR; Reg Tech; GoldTier; REDS; Behavox</t>
  </si>
  <si>
    <t>Order, execution, market and static (customer profile) data, desk / inventory code mappings, AP information FROM books of record (Bloomberg, Sophis, Calypso, Murex, WEX, etc.)
Swap / OTC derivative client static data (ISDA, CSA, end-user exemptions, special entity elections, margin) FROM PETR
Swap reporting data (TDML / trade state, reporting rules engine) FROM Reg Tech Portal
Static client data (onboarding, KYC elections, approved products) FROM GoldTier
OBA / PST data FROM REDS
E-comm reviews / alerts FROM Behavox</t>
  </si>
  <si>
    <t>RCM process - to be reviewed by the RCM Standard Owner. Team note: Reg Tech allows trade-by-trade search only and GoldTier has no read-only access; data lake access would improve sampling.</t>
  </si>
  <si>
    <t>Monitoring &amp; Testing - Compliance Testing Lifecycle</t>
  </si>
  <si>
    <t>MERLIN; ServiceNow; SharePoint; Alteryx; Python</t>
  </si>
  <si>
    <t>1. LRR inventory, risk assessment ratings (IRR / CAT), control descriptions FROM MERLIN
2. Issue management lifecycle FROM ServiceNow
3. Transaction data FROM Darwin, Encompass, ION, Murex, Bloomberg, Calypso, Sophis, ATM, FIS, Fidessa
4. Customer static data FROM PETR, GoldTier, TAM
5. Settlement data FROM Colline, Scrittura, Helios, MarketWire, Veritas
6. Market risk data FROM MRI, Integrated Reporting
7. Regulatory reporting data FROM Reg Tech / Venom, MRI Volcker Aggregator
8. Test plan change tracking FROM Excel, Outlook, SharePoint; monitoring artifacts FROM SharePoint
9. Other tools and sources cited: Alteryx, Behavox, BlueMatrix, Broadridge, BTCA, Compass, FINRA CRD / Gateway, Fund-Apps, IHMS, Ipreo, JIRA, LMS, Matrix, NASDAQ Trader, Novatus, nTier, Python, SMARSH, STAR Compliance, WEX, GMVM / RSM shared drives</t>
  </si>
  <si>
    <t>RCM process - to be reviewed by the RCM Standard Owner.</t>
  </si>
  <si>
    <t>CODI; SharePoint; FINRA Gateway; SEC EDGAR; Blue Matrix; DealTraxx</t>
  </si>
  <si>
    <t>TDS policies and procedures; business operating procedures; TD acronyms; people directory; prior TD announcements; assistants list; banker registration status FROM CODI, CIB Resource Hub, Compliance SharePoint, ERM, TD SharePoint, Cross Border SharePoint / Form, FINRA sites (Gateway, BrokerCheck, Fines &amp; AWCs), SEC EDGAR, TD code of conduct, Monthly Registration Report
TD Cowen research publications FROM Blue Matrix
TDS transaction (deal) data FROM DealTraxx</t>
  </si>
  <si>
    <t>Updated from 2026 Compliance AI data survey; process name made specific (was "CIB and Research Advisory").</t>
  </si>
  <si>
    <t>Reviews of Responses to FINRA Inquiries</t>
  </si>
  <si>
    <t>Star Compliance; DealTraxx; Control Room system; REDS; Ipreo</t>
  </si>
  <si>
    <t>Watch list add dates vs business chronology; employees aware of deal and awareness dates FROM STAR, DealTraxx, Control Room system, REDS, IPREO (bookbuild)</t>
  </si>
  <si>
    <t>Process name made specific (was "CIB and Research Advisory").</t>
  </si>
  <si>
    <t>ServiceNow (eGRC); MERLIN; SharePoint</t>
  </si>
  <si>
    <t>RCM process - to be reviewed by the RCM Standard Owner. Process name made specific (was "CIB and Research Advisory").</t>
  </si>
  <si>
    <t>Regulatory Change, Current Regulations &amp; Regulatory Focus</t>
  </si>
  <si>
    <t>Regulator websites; Federal Register</t>
  </si>
  <si>
    <t>Regulatory Inquiry Response</t>
  </si>
  <si>
    <t>Bloomberg TOMS; ION; ATS venues (Tradeweb, Dealerweb, BrokerTec); Loan IQ / Maple; Centricity; Broadridge Impact (NAPE); Sophis; Darwin; Calypso; SwapOne</t>
  </si>
  <si>
    <t>Order and trade data FROM vendor platform OMS's, multiple internal source systems:
- Fixed income transactions and counterparty accounts FROM Bloomberg TOMS, ION Trading System
- Trade and order blotters FROM ATS venues (Tradeweb, Dealerweb, BrokerTec, etc.)
- Corporate / syndicated loan trades FROM Loan IQ, Maple
- Jumbo mortgage loan trades FROM Centricity
- Settlement, allocation and trade-level details FROM NAPE (Broadridge Impact)
- Trade data repository FROM Sophis, Darwin, Calypso, Mercury, SwapOne</t>
  </si>
  <si>
    <t>Process name made specific (was "Advisory"). Systems the survey listed as standalone "processes" are folded in here.</t>
  </si>
  <si>
    <t>Market Activity Review</t>
  </si>
  <si>
    <t>Maverick</t>
  </si>
  <si>
    <t>Process name made specific (was "Advisory").</t>
  </si>
  <si>
    <t>Option Position and Exercise Monitoring (Listed and OTC)</t>
  </si>
  <si>
    <t>Broadridge; Sophis</t>
  </si>
  <si>
    <t>Cross Jurisdiction Policy Review</t>
  </si>
  <si>
    <t>CODI</t>
  </si>
  <si>
    <t>Policy Repository Maintenance</t>
  </si>
  <si>
    <t>CODI; TDS Compliance Intranet; TD US Governance Repository</t>
  </si>
  <si>
    <t>Process name corrected (was "Policeis and Peocedures").</t>
  </si>
  <si>
    <t>P80</t>
  </si>
  <si>
    <t>P81</t>
  </si>
  <si>
    <t>P82</t>
  </si>
  <si>
    <t>P83</t>
  </si>
  <si>
    <t>P84</t>
  </si>
  <si>
    <t>P85</t>
  </si>
  <si>
    <t>P86</t>
  </si>
  <si>
    <t>P87</t>
  </si>
  <si>
    <t>P88</t>
  </si>
  <si>
    <t>P89</t>
  </si>
  <si>
    <t>P90</t>
  </si>
  <si>
    <t>P91</t>
  </si>
  <si>
    <t>P92</t>
  </si>
  <si>
    <t>P93</t>
  </si>
  <si>
    <t>Surveillance Quality Assurance</t>
  </si>
  <si>
    <t>On a weekly basis, GTS performs a quality assurance process to ensure alerts are analyzed and dispositioned according to GTS procedures. QA analysts sample alerts from the case manager, review how well the disposition accords with procedures, and check alert details and market data to confirm the alert was dispositioned correctly.</t>
  </si>
  <si>
    <t>Trade surveillance alerts and dispositions FROM SMARTS, Trading Hub, in-house models, ActOne
Desktop procedures FROM team SharePoint
Transaction data FROM vendor platforms, internal source systems
Market and reference data FROM Bloomberg, internal source systems
News and corporate filings FROM web</t>
  </si>
  <si>
    <t>Added from 2026 Compliance AI data survey; pending team validation.</t>
  </si>
  <si>
    <t>P94</t>
  </si>
  <si>
    <t>Surveillance Reporting (MI Dashboard)</t>
  </si>
  <si>
    <t>On a monthly basis, Surveillance publishes the MI Dashboard with KRIs and KPIs on trade and communications surveillance. Data is manually extracted from the case management system, Trading Hub and Behavox to generate metrics and commentary.</t>
  </si>
  <si>
    <t>ActOne (Actimize); Trading Hub; Behavox</t>
  </si>
  <si>
    <t>Case and alert metrics FROM ActOne
Trade surveillance metrics FROM Trading Hub
E-comms surveillance metrics FROM Behavox</t>
  </si>
  <si>
    <t>Added from 2026 Compliance AI data survey; pending team validation. Metrics are currently extracted manually.</t>
  </si>
  <si>
    <t>P95</t>
  </si>
  <si>
    <t>Fixed Income Fair Value Pricing Reviews</t>
  </si>
  <si>
    <t>GTS receives ad hoc fair value pricing (FVP) requests from CIRO. The analyst compares reference market data with the trade price in question, assesses the price provided and drafts the response.</t>
  </si>
  <si>
    <t>Bloomberg</t>
  </si>
  <si>
    <t>Reference market data FROM Bloomberg
Trade details FROM trade blotters
Desk rationale FROM interactions with the desk</t>
  </si>
  <si>
    <t>P96</t>
  </si>
  <si>
    <t>Ad Hoc Surveillance Queries / Investigations</t>
  </si>
  <si>
    <t>Ad hoc surveillance queries and investigations using trade, order, position and communications data.</t>
  </si>
  <si>
    <t>To be confirmed</t>
  </si>
  <si>
    <t>Trade blotters, orders, executions FROM source systems (not specified)
Position information FROM source systems (not specified)
Communications FROM communications archives (not specified)</t>
  </si>
  <si>
    <t>Added from 2026 Compliance AI data survey; pending team validation. Survey did not name the source systems - to confirm with GTS.</t>
  </si>
  <si>
    <t>P97</t>
  </si>
  <si>
    <t>Surveillance Quality Assurance (UK&amp;I)</t>
  </si>
  <si>
    <t>Weekly quality assurance of surveillance alerts to ensure they are analyzed and dispositioned according to procedures, sampling alerts from the case manager and checking alert details and market data.</t>
  </si>
  <si>
    <t>Trade surveillance alerts FROM SMARTS, Trading Hub, in-house models, ActOne
Desktop procedures FROM team SharePoint
Transaction data FROM vendor platforms, internal source systems
Market and reference data FROM Bloomberg, internal source systems
News and corporate filings FROM web</t>
  </si>
  <si>
    <t>Added from 2026 Compliance AI data survey; pending team validation. Survey text is identical to the GTS QA entry - confirm this is a UK&amp;I-specific process.</t>
  </si>
  <si>
    <t>P98</t>
  </si>
  <si>
    <t>Horizon Scanning</t>
  </si>
  <si>
    <t>Review regulatory alerts, send a weekly summary email of relevant regulatory change items and add those items to MERLIN.</t>
  </si>
  <si>
    <t>Practical Law; Lexology; MERLIN</t>
  </si>
  <si>
    <t>Daily regulatory alerts FROM Practical Law (daily emails), industry associations, Central Bank of Ireland, ESMA, EBA, EU Official Journal, Irish Statute Book, BoE Reg Digest, PRA &amp; FCA alerts and publications, consultancy firm updates, Group Risk functions, BPFI, IMA, Lexology, Moneylaundering.com
Regulatory change items FROM MERLIN</t>
  </si>
  <si>
    <t>RCM process - to be reviewed by the RCM Standard Owner. Added from 2026 Compliance AI data survey; pending team validation.</t>
  </si>
  <si>
    <t>P99</t>
  </si>
  <si>
    <t>Monitoring &amp; Testing (UK&amp;I)</t>
  </si>
  <si>
    <t>Risk-based monitoring and testing of adherence to LRRs and internal requirements, delivered through an annual plan built from MERLIN LRR coverage: scoping, execution (walkthroughs, sampling or full-population testing, evidence), reporting and issues management in ServiceNow. Monitoring includes outsourced activity oversight, surveillance review, Gifts &amp; Entertainment monitoring and Takeover Panel returns.</t>
  </si>
  <si>
    <t>MERLIN; ServiceNow; SharePoint; GoldTier; Digital Safe; Bloomberg Vault; SMARTS; Fidessa; ATM; ActOne; Bloomberg; Star Compliance; Behavox; Custodia CC1; Theta Lake; FundApps; MyComplianceOffice; Micro Focus digital archive</t>
  </si>
  <si>
    <t>1. LRR inventory (topics, obligation / citation-level requirements) FROM MERLIN
2. M&amp;T plan inputs and coverage data (coverage dates / frequencies, risk ratings) FROM MERLIN
3. Control descriptions (mapped controls) FROM MERLIN
4. Population data to be tested (transactions, events, alerts, reports, accounts) FROM GoldTier, Digital Safe, BBG Vault, SMARTS, Fidessa, ATM, ActOne, Bloomberg Terminal, Star Compliance, Behavox, Custodia CC1, Theta Lake, FundApps, MyComplianceOffice, Micro Focus digital archive
5. Issue / finding records and remediation tracking FROM ServiceNow
6. Workpapers and evidence FROM SharePoint, shared drive</t>
  </si>
  <si>
    <t>P100</t>
  </si>
  <si>
    <t>Cross Border Monitoring</t>
  </si>
  <si>
    <t>Identification of any activity that falls outside of authorisation.</t>
  </si>
  <si>
    <t>Calypso; Murex; Sophis; Anvil; Bloomberg; Outlook</t>
  </si>
  <si>
    <t>Books &amp; records for each product and communications platform FROM Calypso (C&amp;D), Murex, Sophis, Anvil, Bloomberg, Outlook</t>
  </si>
  <si>
    <t>P101</t>
  </si>
  <si>
    <t>Investigations</t>
  </si>
  <si>
    <t>Investigation logs for breaches, STORs, conflicts, etc. Logs are used to track each investigation through to completion and closure.</t>
  </si>
  <si>
    <t>Public sources of record, internal TD data from source systems, monitoring platforms FROM various sources
Investigation logs FROM UK / Ireland shared drives and SharePoint</t>
  </si>
  <si>
    <t>P102</t>
  </si>
  <si>
    <t>Training (Desk Training)</t>
  </si>
  <si>
    <t>Document depository for training materials (e.g., desk training), with periodic refresh and governance.</t>
  </si>
  <si>
    <t>Reg requirements FROM regulatory websites
Training materials FROM UK / Ireland shared drives and SharePoint</t>
  </si>
  <si>
    <t>P103</t>
  </si>
  <si>
    <t>Induction Training</t>
  </si>
  <si>
    <t>Monthly list of London new joiners is collated into a tracking spreadsheet used to track induction invite responses and attendance; results are reported by email at month end.</t>
  </si>
  <si>
    <t>Excel; Outlook</t>
  </si>
  <si>
    <t>Monthly new joiners FROM HR starters &amp; leavers reports
Invite responses and attendance FROM Outlook
Tracking log FROM Excel</t>
  </si>
  <si>
    <t>P104</t>
  </si>
  <si>
    <t>Advisory Opinions (Desk Guidance)</t>
  </si>
  <si>
    <t>Provide guidance to the desks, compiled from multiple sources.</t>
  </si>
  <si>
    <t>Guidance inputs FROM external counsel, regulatory websites
Advice records FROM UK / Ireland shared drives and SharePoint</t>
  </si>
  <si>
    <t>P105</t>
  </si>
  <si>
    <t>Long / Short Position Monitoring</t>
  </si>
  <si>
    <t>GCR uses alerts to check and escalate possible long and short position and Takeover Rule disclosures to regional teams. Regional teams verify data and make disclosures where required.</t>
  </si>
  <si>
    <t>FundApps</t>
  </si>
  <si>
    <t>Equity and sovereign debt position data (holdings and % of outstanding issue) FROM FundApps</t>
  </si>
  <si>
    <t>P106</t>
  </si>
  <si>
    <t>Committee &amp; Forum Reporting</t>
  </si>
  <si>
    <t>Provide material updates and key metrics to committees and forums using their templates; sent to CCOs for approval prior to submission.</t>
  </si>
  <si>
    <t>Power BI; SharePoint</t>
  </si>
  <si>
    <t>Team updates (reg change, reg interaction, operations, core and advisory compliance) and key metrics (breaches, conflicts, training, policies, M&amp;T, trade surveillance alerts and escalations) FROM Power BI (stored on SharePoint)</t>
  </si>
  <si>
    <t>P107</t>
  </si>
  <si>
    <t>LME OTC Fee Submission &amp; Warrant Holding Change Check</t>
  </si>
  <si>
    <t>Analyse all in-scope trades that attract an LME fee, which is then sent to the LME; daily LME warrant holding change filing that requires desk / compliance review.</t>
  </si>
  <si>
    <t>Murex (CMD); Murex SaaS</t>
  </si>
  <si>
    <t>CMD trade data FROM CMD Murex / Murex SaaS</t>
  </si>
  <si>
    <t>Added from 2026 Compliance AI data survey; pending team validation. Listed under "Reporting" in the survey; split out as a separate process.</t>
  </si>
  <si>
    <t>P108</t>
  </si>
  <si>
    <t>Digital Portal</t>
  </si>
  <si>
    <t>Workflow items and logs maintained on the team digital portal.</t>
  </si>
  <si>
    <t>SharePoint</t>
  </si>
  <si>
    <t>Workflow items / logs FROM SharePoint</t>
  </si>
  <si>
    <t>P109</t>
  </si>
  <si>
    <t>OBA Approvals (UK&amp;I)</t>
  </si>
  <si>
    <t>Approve / decline OBA requests from the OBA portal. Star Compliance is checked for private investments / conflicts of interest; if no issues, the OBA is approved in the system by Compliance.</t>
  </si>
  <si>
    <t>Star Compliance; OBA system</t>
  </si>
  <si>
    <t>Employee investment accounts, private investments, conflicts FROM Star Compliance (Compliance View)
OBA requests, headcount reports FROM OBA system</t>
  </si>
  <si>
    <t>P110</t>
  </si>
  <si>
    <t>RCM Risk Assessment (UK&amp;I)</t>
  </si>
  <si>
    <t>Oversight Function maps LRRs to BUs and, with the 1LOD, rates inherent risk and control environment.</t>
  </si>
  <si>
    <t>List of BUs; LRRs to L3; Oversight Functions; BU risk assessments to L2 (topic) FROM MERLIN</t>
  </si>
  <si>
    <t>P111</t>
  </si>
  <si>
    <t>Control Mapping (UK&amp;I)</t>
  </si>
  <si>
    <t>1st Line or Compliance identifies controls and maps them to LRR L3 x BU mappings (citation level) where Compliance requires controls. For controls owned by the 1LOD, Compliance reviews and approves.</t>
  </si>
  <si>
    <t>List of controls FROM MERLIN</t>
  </si>
  <si>
    <t>P112</t>
  </si>
  <si>
    <t>Outsourcing Governance (UK&amp;I)</t>
  </si>
  <si>
    <t>Governance and tracking of outsourced activity for the region, including annual governance.</t>
  </si>
  <si>
    <t>Excel; PowerPoint</t>
  </si>
  <si>
    <t>G&amp;C spreadsheets, forms for reporting committees FROM Excel, PowerPoint</t>
  </si>
  <si>
    <t>P113</t>
  </si>
  <si>
    <t>New Business (NBPA / CRA Reviews)</t>
  </si>
  <si>
    <t>NBPA and CRA reviews for new business.</t>
  </si>
  <si>
    <t>Email; Excel</t>
  </si>
  <si>
    <t>Review inputs FROM email, Excel</t>
  </si>
  <si>
    <t>P114</t>
  </si>
  <si>
    <t>Audit Management</t>
  </si>
  <si>
    <t>Management of audits.</t>
  </si>
  <si>
    <t>Audit requests and tracking FROM email, Excel</t>
  </si>
  <si>
    <t>P115</t>
  </si>
  <si>
    <t>Compliance Monitoring (Canada)</t>
  </si>
  <si>
    <t>Identify, assess and escalate potential regulatory risks from business activity. Scope is defined by regulatory requirements, products, clients and trading activity; monitoring is performed through automated surveillance, exception reports and targeted reviews, with outcomes and rationale documented.</t>
  </si>
  <si>
    <t>TAT / FIDAT; ISM (Kyndryl); Fidessa; Neovest; SMARTS; Bloomberg; GoldTier; FIS; MX portals; Behavox; CC1; HP Supervisor; Trading Hub; Raptor</t>
  </si>
  <si>
    <t>Transaction data FROM TAT, FIDAT, ISM, commission / PnL / inventory reports, TDS Compliance portal, JPM intraday LOPR raw files, AS400 (LOPR options raw files), front office emails, trade blotters, Fidessa, GED Salesdesk summary, OTC derivatives and FX confirmations, audio retention list, MX Participant Activity Report, Neovest, EFTR
Market data FROM SMARTS, Bloomberg
Reference data FROM internal books of record, GoldTier, ISM, FIS, Trader ID, new hire list, trader authorization list
Client / counterparty data FROM MX Trade Management System, MX Position Report Manager, MX-R portal
Communications data FROM Behavox, CC1, HP Supervisor
Surveillance data FROM Wealth Trading Platform support (LOPR submission notifications), Trading Hub
Risk / control data FROM regulatory escalations log, Raptor audit log, DMA client agreements, MX position limits file
Regulatory / policy data FROM shared drive, TDS Compliance policies and procedures, DOP, CIRO ineligible securities and pre-borrow lists, written supervisory procedures</t>
  </si>
  <si>
    <t>P116</t>
  </si>
  <si>
    <t>Annual / Quarterly SDM Report (OSC Rule 93-101)</t>
  </si>
  <si>
    <t>Annual report to the Board capturing all instances of material non-compliance, reviewed with Senior Derivatives Managers first; quarterly briefing emails to SDMs to support their year-end attestation. Prepared using TDR, global compliance reports and the global supervision forum.</t>
  </si>
  <si>
    <t>CC1; HP Supervisor; Behavox; SMARTS; Bloomberg</t>
  </si>
  <si>
    <t>Compliance monitoring results FROM CC1, HP Supervisor, Behavox
Stakeholder inputs FROM RSM, TBSM, Operations
Surveillance data FROM SMARTS, Bloomberg
Report inputs FROM TDR, global compliance reports, global supervision forum</t>
  </si>
  <si>
    <t>P117</t>
  </si>
  <si>
    <t>Annual OTC Derivatives Compliance Report (LEI)</t>
  </si>
  <si>
    <t>Annual report to the OSC of counterparties without an LEI and the reasons their trades are reported without one.</t>
  </si>
  <si>
    <t>Reg Tech (RRG)</t>
  </si>
  <si>
    <t>Trade transaction report FROM Reg Tech, RRG</t>
  </si>
  <si>
    <t>P118</t>
  </si>
  <si>
    <t>Regulatory Change (Canada)</t>
  </si>
  <si>
    <t>Daily scan for regulatory change by the Regulatory Change Lead; materiality review; Risk Owners notified to assess impact; logged on the GRIC tracker. Material changes require a Business Impact Assessment and implementation plan; LRR / BU / control updates are coordinated for mapping in MERLIN.</t>
  </si>
  <si>
    <t>Thomson Reuters Regulatory Intelligence; SharePoint; MERLIN</t>
  </si>
  <si>
    <t>Regulatory updates FROM Thomson Reuters Regulatory Intelligence (TRRI)
Regulator newsfeeds FROM CSA, OSC, ASC, AMF, MX, BCSC, OSFI
Regulatory change tracker FROM GRCIG Regulatory Change Tracker (SharePoint)
BIA and implementation plans FROM internal forms
Notifications FROM Outlook
LRR updates FROM MERLIN</t>
  </si>
  <si>
    <t>P119</t>
  </si>
  <si>
    <t>Research Monitoring</t>
  </si>
  <si>
    <t>Review reports and run processes to identify Research-related issues that may pose regulatory, financial or compliance risk; communicate concerns to the business and escalate to management where needed.</t>
  </si>
  <si>
    <t>Equity Research Portal; Blue Matrix; Research Database; SMARTS; Behavox; FundApps; SEDI</t>
  </si>
  <si>
    <t>Emails FROM Outlook (Institutional Equities inbox)
Working files FROM shared drives (COMP \ WIP - Institutional Equities; dtp \ Compliance)
Policies and procedures FROM TDS Compliance Research Procedure Manual, Canadian Equity Research Policy, Global Equity Research Operating Model Policy, Global FICC Strategy Policy
Research and surveillance data FROM Equity Research Portal, Blue Matrix, Research Database, SMARTS, Behavox
Internal disclosure data FROM FundApps report, IB revenue report, Finance deals, M&amp;A revenue report, public appearance records, Compliance Master Disclosure File, Specials / Directors file, Morning Call
External disclosure data FROM MX Market Maker List, TSX daily market maker report, TD website (Board of Directors), SEDI</t>
  </si>
  <si>
    <t>P120</t>
  </si>
  <si>
    <t>Monitoring &amp; Testing (Canada)</t>
  </si>
  <si>
    <t>Quarterly, the TDS CAN M&amp;T team uses the RCM Control Library in MERLIN to map controls to in-scope BU x LRR combinations and tests them.</t>
  </si>
  <si>
    <t>MERLIN; ServiceNow; Murex; Bloomberg; Calypso; Sophis; FIS; Fidessa; PETR; GoldTier; Reg Tech / Venom</t>
  </si>
  <si>
    <t>1. LRR inventory, risk assessment ratings, control descriptions FROM MERLIN
2. Population data (policies and procedures, transactions, alerts, reports, accounts) FROM source systems
3. Issue management lifecycle FROM ServiceNow
4. Transaction data FROM Murex, Bloomberg, Calypso, Sophis, FIS, Fidessa
5. Customer static data FROM PETR, GoldTier, TAM
6. Regulatory reporting data FROM Reg Tech / Venom, KOR
7. Settlement and market risk data FROM (not specified)</t>
  </si>
  <si>
    <t>P121</t>
  </si>
  <si>
    <t>BU x LRR Mapping Inventory (Canada)</t>
  </si>
  <si>
    <t>Canadian LRRs and BU x LRR mappings are held in MERLIN and updated ad hoc by the TDS CAN RCM team.</t>
  </si>
  <si>
    <t>MERLIN; SharePoint</t>
  </si>
  <si>
    <t>BU x LRR mappings, LRR data FROM MERLIN, SharePoint</t>
  </si>
  <si>
    <t>P122</t>
  </si>
  <si>
    <t>Annual RCM Risk Assessment (RCRA &amp; PEA)</t>
  </si>
  <si>
    <t>Annually, Central Compliance coordinates the Regulatory Compliance Risk Assessment (RCRA) with Risk Owners and Oversight Functions using MERLIN data (Inherent Risk Assessment on SharePoint, then loaded back into MERLIN), and the Program Effectiveness Assessment (PEA) on SharePoint.</t>
  </si>
  <si>
    <t>RCRA inputs - inherent risk rating (external, strategy, operational, assessment point impact), control effectiveness rating (design, operating effectiveness), residual risk rating FROM MERLIN, SharePoint (IRRA)
PEA inputs - 9 RCM Standards, supporting documentation, OF evidence, attestations, approvals FROM SharePoint</t>
  </si>
  <si>
    <t>P123</t>
  </si>
  <si>
    <t>Policy &amp; Procedure Maintenance (Canada)</t>
  </si>
  <si>
    <t>Annual and ad hoc review of TDS Canada Compliance policies and procedures by SMEs and business stakeholders, approved by AVP and VP, version-controlled on the shared drive and published to CODI and the Intranet.</t>
  </si>
  <si>
    <t>CODI; SharePoint; Shared drive</t>
  </si>
  <si>
    <t>Current and previous versions of policies and procedures FROM CODI, shared drive, Intranet (SharePoint)</t>
  </si>
  <si>
    <t>P124</t>
  </si>
  <si>
    <t>Quarterly TBSM Compliance Report</t>
  </si>
  <si>
    <t>Quarterly report to the TBSM business on potential Volcker, e-comm and voice monitoring issues, relevant regulatory changes and related project updates.</t>
  </si>
  <si>
    <t>CC1; HP Supervisor; Behavox; SMARTS; Trading Hub</t>
  </si>
  <si>
    <t>Compliance monitoring results FROM CC1, HP Supervisor, Behavox
Surveillance data FROM SMARTS, Trading Hub
Business inputs FROM TBSM</t>
  </si>
  <si>
    <t>P125</t>
  </si>
  <si>
    <t>Monitoring &amp; Testing (APAC)</t>
  </si>
  <si>
    <t>Risk-based monitoring and testing of adherence to LRRs and internal requirements through an annual plan built from MERLIN LRR coverage: scoping, execution (walkthroughs, sampling or full-population testing, evidence), reporting and issues management in ServiceNow.</t>
  </si>
  <si>
    <t>MERLIN; ServiceNow; SharePoint; GoldTier; Sophis; Trading Hub; SMARTS; Fidessa; GLBFX; ActOne; Bloomberg; Star Compliance; Behavox; Custodia CC1; Theta Lake; Calypso; Murex; Venom</t>
  </si>
  <si>
    <t>1. LRR inventory (topics, citation / obligation-level requirements) FROM MERLIN
2. M&amp;T plan inputs and coverage data FROM MERLIN
3. Control descriptions (mapped controls) FROM MERLIN
4. Population data to be tested FROM GoldTier, Sophis, Trading Hub, SMARTS, Fidessa, GLBFX, ActOne, Bloomberg Terminal, Star Compliance, Behavox, Custodia CC1, Theta Lake, Calypso Cash, Calypso CPG, Murex, Venom
5. Attestations, ROA applications, system standard role documents, HR mandatory leave records FROM Diamond / non-Diamond attestation files, HR
6. Issue / finding records FROM ServiceNow
7. Workpapers FROM SharePoint, shared drive</t>
  </si>
  <si>
    <t>P126</t>
  </si>
  <si>
    <t>Surveillance Monitoring &amp; QA (APAC)</t>
  </si>
  <si>
    <t>APAC monitoring activities: e-comms surveillance and QA (GTS, GCR); archived e-comms access; Japanese e-comm translation; voice surveillance (turrets, MS Teams / Webex, Singtel mobile lines); personal account dealing QA; trade surveillance QA on SMARTS and Trading Hub alerts; surveillance reporting and MI; PAD population checks from starters &amp; leavers; random trade / e-comm data coverage checks.</t>
  </si>
  <si>
    <t>Behavox; Smarsh (Digital Safe); CC1 (Verba); Theta Lake; Touch Recording; Star Compliance; SMARTS; Trading Hub; ActOne</t>
  </si>
  <si>
    <t>E-comms alerts, reports, search, translation FROM NextGen Behavox
Archived e-comms FROM Smarsh (Digital Safe)
Japanese e-comm translation FROM MS Word translate
Voice recordings and recording lists for sampling FROM CC1 (turrets), Theta Lake (MS Teams / Webex), Touch Recording (Singtel mobile)
PAD case / alert dispositions, account activations, brokers, initial attestations FROM Star Compliance
Alerts, screenshots, alert list exports FROM SMARTS (US and APAC servers), Trading Hub
Trade surveillance MI FROM ActOne
New joiners, leavers, location changes, cost centres, effective dates FROM Europe &amp; Asia Starters &amp; Leavers report (HR email)
Data coverage checks FROM booking systems (e.g., Calypso) vs SMARTS / Trading Hub; Smarsh vs Behavox</t>
  </si>
  <si>
    <t>P127</t>
  </si>
  <si>
    <t>Management &amp; Board Reporting (APAC)</t>
  </si>
  <si>
    <t>Creation of reports for management committees and boards covering risk events, MI, new regulations and developments.</t>
  </si>
  <si>
    <t>Power BI; SharePoint; Shared drive</t>
  </si>
  <si>
    <t>Risk events, MI, new regulations FROM Power BI (stored on SharePoint)
Risk events, new developments FROM email, shared drive</t>
  </si>
  <si>
    <t>Added from 2026 Compliance AI data survey; pending team validation. Survey "Reporting" and "Management reporting" entries combined.</t>
  </si>
  <si>
    <t>P128</t>
  </si>
  <si>
    <t>Policies &amp; Procedures Maintenance (APAC)</t>
  </si>
  <si>
    <t>Annual refresh and depository of policies and procedures, with inputs from stakeholders.</t>
  </si>
  <si>
    <t>Reg requirements FROM regulatory websites
Current policies and procedures, stakeholder inputs FROM shared drive, email
Final policies and procedures FROM CODI SharePoint, APAC Compliance SharePoint, Singapore drives</t>
  </si>
  <si>
    <t>Added from 2026 Compliance AI data survey; pending team validation. Survey "Policies and Procedures", "Policies" and "Maintaining policies and procedures" entries combined.</t>
  </si>
  <si>
    <t>P129</t>
  </si>
  <si>
    <t>Regulatory Change &amp; Horizon Scanning (APAC)</t>
  </si>
  <si>
    <t>Horizon scanning for regulatory changes, input of changes and LRR mappings, and notification to stakeholders.</t>
  </si>
  <si>
    <t>Thomson Reuters; MERLIN; Regulator platforms</t>
  </si>
  <si>
    <t>New regulatory changes FROM regulator websites and platforms, law firm email subscriptions, regulator and industry association emails, Thomson Reuters, CUBE (future)
Circulars FROM MAS, SGX, ABS (email)
LRR inventory mappings FROM MERLIN
Stakeholder notifications FROM email</t>
  </si>
  <si>
    <t>RCM process - to be reviewed by the RCM Standard Owner. Added from 2026 Compliance AI data survey; pending team validation. Survey "Regulatory Change" and "Horizon Scanning" entries combined.</t>
  </si>
  <si>
    <t>P130</t>
  </si>
  <si>
    <t>Issues Management (APAC)</t>
  </si>
  <si>
    <t>New issue entry, updates and tracking.</t>
  </si>
  <si>
    <t>ServiceNow</t>
  </si>
  <si>
    <t>Issues FROM ServiceNow</t>
  </si>
  <si>
    <t>RCM process - to be reviewed by the RCM Standard Owner. Added from 2026 Compliance AI data survey; pending team validation. Survey text for this entry is identical to Core Compliance (US) - confirm APAC performs it.</t>
  </si>
  <si>
    <t>P131</t>
  </si>
  <si>
    <t>LRR Inventory (APAC)</t>
  </si>
  <si>
    <t>Manage updates to BU x LRR applicability; extract controls data or update Compliance-owned controls data.</t>
  </si>
  <si>
    <t>BU hierarchy, LRR inventory FROM MERLIN
Control procedures FROM MERLIN</t>
  </si>
  <si>
    <t>P132</t>
  </si>
  <si>
    <t>Risk Assessment (APAC)</t>
  </si>
  <si>
    <t>Extract and upload risk assessment data; extract reporting.</t>
  </si>
  <si>
    <t>IRR, CAT FROM MERLIN</t>
  </si>
  <si>
    <t>P133</t>
  </si>
  <si>
    <t>Missing Controls Resolution</t>
  </si>
  <si>
    <t>Assess control gaps against applicability.</t>
  </si>
  <si>
    <t>Control dashboard</t>
  </si>
  <si>
    <t>Exception rationale, actions FROM control dashboard</t>
  </si>
  <si>
    <t>P134</t>
  </si>
  <si>
    <t>QA / QC Reviews of RCM Outputs</t>
  </si>
  <si>
    <t>Quality checks on RCM outputs.</t>
  </si>
  <si>
    <t>Excel; MERLIN</t>
  </si>
  <si>
    <t>QC exceptions, responses FROM Excel, MERLIN</t>
  </si>
  <si>
    <t>P135</t>
  </si>
  <si>
    <t>Risk Register Refresh</t>
  </si>
  <si>
    <t>Annual update of risks and ratings.</t>
  </si>
  <si>
    <t>Excel</t>
  </si>
  <si>
    <t>Risk statements, IRR ratings FROM Excel</t>
  </si>
  <si>
    <t>P136</t>
  </si>
  <si>
    <t>Outside Business Activity (APAC)</t>
  </si>
  <si>
    <t>OBAs / outside activities that must be reported, reviewed and approved by TD before the employee starts, in line with the TD Code of Conduct and Ethics.</t>
  </si>
  <si>
    <t>RED system</t>
  </si>
  <si>
    <t>Employee OBA submissions FROM RED system</t>
  </si>
  <si>
    <t>P137</t>
  </si>
  <si>
    <t>Outsourcing (APAC)</t>
  </si>
  <si>
    <t>Outsourcing proposals (intra-group or third party) must follow the TD framework and policies, MAS outsourcing requirements and the HKMA SPM on Outsourcing.</t>
  </si>
  <si>
    <t>TDBG Third Party Risk Management Policy and Framework; TDS Singapore Outsourcing Risk Management Policy and Framework; TDS Singapore customer information procedure; APAC Outsourcing Procedures FROM internal policy documents
SCO2 reports, MSAs, HK outsourcing assessment template FROM Excel</t>
  </si>
  <si>
    <t>P138</t>
  </si>
  <si>
    <t>Compliance Induction (APAC)</t>
  </si>
  <si>
    <t>All new staff receive induction training on joining the Bank covering a range of regulatory topics.</t>
  </si>
  <si>
    <t>Key Compliance policies and procedures, starters and leavers list FROM Excel, PowerPoint</t>
  </si>
  <si>
    <t>P139</t>
  </si>
  <si>
    <t>Business Advisory &amp; Compliance Advice (APAC)</t>
  </si>
  <si>
    <t>Provide compliance advice, business guidance and cross-border guidance / FAQs to front office and stakeholders, referring to global and regional policies.</t>
  </si>
  <si>
    <t>Aosphere; CODI; SharePoint; Shared drive</t>
  </si>
  <si>
    <t>Cross-border marketing and selling legal advice FROM Aosphere
Global and regional policies FROM CODI
Regulator material, prior guidance for similar requests FROM regulator websites, industry associations (ISDA, ASIFMA), external counsel, APAC Compliance SharePoint, Singapore drives, email</t>
  </si>
  <si>
    <t>Added from 2026 Compliance AI data survey; pending team validation. Survey "Business Advisory", "Business Advisory - Opinions" and "Compliance advice" entries combined.</t>
  </si>
  <si>
    <t>P140</t>
  </si>
  <si>
    <t>Breach Reporting (APAC)</t>
  </si>
  <si>
    <t>Reporting breaches to regulators.</t>
  </si>
  <si>
    <t>Risk events, updates to previously reported breaches, stakeholder inputs FROM email, regulator platforms, shared drive</t>
  </si>
  <si>
    <t>P141</t>
  </si>
  <si>
    <t>Internal Audit Impact Assessment</t>
  </si>
  <si>
    <t>Review of global audit reports and assessment of impact to APAC.</t>
  </si>
  <si>
    <t>Email</t>
  </si>
  <si>
    <t>Internal audit reports FROM email</t>
  </si>
  <si>
    <t>P142</t>
  </si>
  <si>
    <t>Internal Audit RFI Response</t>
  </si>
  <si>
    <t>Prepare draft responses to Internal Audit RFIs on interpretation of global, regional or local policy and its application.</t>
  </si>
  <si>
    <t>CODI; Shared drive</t>
  </si>
  <si>
    <t>Internal global, regional or local policy FROM CODI, APAC Compliance shared drive, SIN shared drive</t>
  </si>
  <si>
    <t>P143</t>
  </si>
  <si>
    <t>NBPA / CRA Review (APAC)</t>
  </si>
  <si>
    <t>Review of applicable LRRs for new business and CRA assessments.</t>
  </si>
  <si>
    <t>Mapped LRRs, all LRRs for relevant jurisdictions FROM MERLIN, regulator websites</t>
  </si>
  <si>
    <t>P144</t>
  </si>
  <si>
    <t>BU Hierarchy (TDS US)</t>
  </si>
  <si>
    <t>Manage the TDS US BU hierarchy, including key contacts.</t>
  </si>
  <si>
    <t>MERLIN; Excel</t>
  </si>
  <si>
    <t>BU hierarchy and key contacts FROM Excel, MERLIN</t>
  </si>
  <si>
    <t>P145</t>
  </si>
  <si>
    <t>Risk Assessment (TDS US)</t>
  </si>
  <si>
    <t>P146</t>
  </si>
  <si>
    <t>Issues Management (TDS US)</t>
  </si>
  <si>
    <t>ServiceNow; MERLIN; SharePoint; Power BI</t>
  </si>
  <si>
    <t>Issues FROM ServiceNow
Historical issues FROM MERLIN
Issue reporting FROM SharePoint, Power BI</t>
  </si>
  <si>
    <t>P147</t>
  </si>
  <si>
    <t>Regulatory Change (TDS US)</t>
  </si>
  <si>
    <t>LRR mappings for regulatory change and the regulatory change intake tracker.</t>
  </si>
  <si>
    <t>MERLIN; SharePoint; Excel</t>
  </si>
  <si>
    <t>LRR inventory mappings FROM MERLIN
New regulatory change intake FROM Excel, Outlook, SharePoint</t>
  </si>
  <si>
    <t>P148</t>
  </si>
  <si>
    <t>Branch Inspections - Registrations, OBAs, E-comms &amp; Supervisory Reviews</t>
  </si>
  <si>
    <t>Branch inspection reviews covering registered reps, OBAs, e-mail review, event tickets, public appearances, supervisory dashboards and packets, public / private side reports and Form BR / branch composites.</t>
  </si>
  <si>
    <t>REDS; Behavox; CAPA; SharePoint; FINRA Gateway; Control Room system; Excel</t>
  </si>
  <si>
    <t>Registered reps and FINRA supervisors, licensing, location FROM Registrations monthly report / RR tracker (Excel)
Approved / not approved OBAs FROM REDS
Registered reps e-mails under monitoring FROM Behavox
Event ticket usage and attendance FROM Excel (event tickets)
Public appearance approvals FROM CAPA
Supervisory reviews of registered reps and FINRA supervisor acknowledgments FROM CIB supervisory dashboard (SharePoint), GM supervisory packets (RSM SharePoint)
Public and private side employees FROM Control Room system / spreadsheet
FINRA supervisors / persons in charge of registered branches FROM FINRA Gateway (Form BR / Branch Composite)</t>
  </si>
  <si>
    <t>Added from 2026 Compliance AI data survey; pending team validation. Remaining Branch Inspection activities not already listed on the two Branch Inspections rows above.</t>
  </si>
  <si>
    <t>P149</t>
  </si>
  <si>
    <t>Governance &amp; Reporting (Committees &amp; Boards)</t>
  </si>
  <si>
    <t>Prepare committee and board submissions, maintain charters / mandates and track committee cadence and audit status.</t>
  </si>
  <si>
    <t>Committee and board presentations, charters and mandates, cadence and committee dates FROM committee secretaries
Audit reports and current status FROM Reg Relations / Markets Advisory</t>
  </si>
  <si>
    <t>P150</t>
  </si>
  <si>
    <t>Risk Assessments (CIB &amp; Research)</t>
  </si>
  <si>
    <t>Advisory Compliance rates inherent and residual risks and determines control effectiveness.</t>
  </si>
  <si>
    <t>Prior years' risk assessments, organizational hierarchies FROM MERLIN</t>
  </si>
  <si>
    <t>P151</t>
  </si>
  <si>
    <t>Client Reviews / Client Review Forum</t>
  </si>
  <si>
    <t>Advisory Compliance escalates to and sits on the Client Acceptance Committee - Risk Partner Review Forum, a cross-functional forum assessing client suitability, behaviours and emerging risks to decide whether clients remain appropriate or need enhanced controls, escalation or remediation.</t>
  </si>
  <si>
    <t>Client review log, client review mission FROM TDS Client Review Forum SharePoint site</t>
  </si>
  <si>
    <t>Added from 2026 Compliance AI data survey; pending team validation. Survey "Client Reviews" and "Client Review Forum" entries combined.</t>
  </si>
  <si>
    <t>P152</t>
  </si>
  <si>
    <t>NBPA Reviews (CIB &amp; Research)</t>
  </si>
  <si>
    <t>Advisory Compliance answers NBPA questions on regulatory compliance risk.</t>
  </si>
  <si>
    <t>Prior NBPA compliance responses FROM (not currently accessible)</t>
  </si>
  <si>
    <t>Added from 2026 Compliance AI data survey; pending team validation. Team would like access to prior NBPA responses; current source to confirm.</t>
  </si>
  <si>
    <t>P153</t>
  </si>
  <si>
    <t>Innovation Review Council</t>
  </si>
  <si>
    <t>Proof of concept (POC) review of new innovation products in bi-weekly review meetings.</t>
  </si>
  <si>
    <t>POC presentations FROM bi-weekly review meetings (governance documents to be confirmed)</t>
  </si>
  <si>
    <t>P154</t>
  </si>
  <si>
    <t>Compliance Training (CIB &amp; Research)</t>
  </si>
  <si>
    <t>New hire, Annual Compliance Meeting, ad hoc training and needs assessments.</t>
  </si>
  <si>
    <t>SharePoint; Shared drive</t>
  </si>
  <si>
    <t>Previous and current training decks, sign-in sheets, knowledge check completion FROM N drive / SharePoint folder "Compliance-CIB/Research"</t>
  </si>
  <si>
    <t>P155</t>
  </si>
  <si>
    <t>Personal Conflicts Memos</t>
  </si>
  <si>
    <t>Document banker personal conflicts with mitigating steps and prohibitions.</t>
  </si>
  <si>
    <t>Conflicts memos FROM global business management / supervisory</t>
  </si>
  <si>
    <t>P156</t>
  </si>
  <si>
    <t>Cross Border Advisory</t>
  </si>
  <si>
    <t>Provide guidance on cross-border activity.</t>
  </si>
  <si>
    <t>Cross-border policies, appendices and matrices FROM TDS Global Cross Border Advisory Site</t>
  </si>
  <si>
    <t>P157</t>
  </si>
  <si>
    <t>OBA Approvals (CIB &amp; Research)</t>
  </si>
  <si>
    <t>Approve outside business activities of bankers.</t>
  </si>
  <si>
    <t>OBA system</t>
  </si>
  <si>
    <t>OBA applications FROM OBA application</t>
  </si>
  <si>
    <t>P158</t>
  </si>
  <si>
    <t>Compliance Alerts to Business</t>
  </si>
  <si>
    <t>Draft and issue compliance alerts on various topics, sent via the marketing team using distribution lists provided by Compliance.</t>
  </si>
  <si>
    <t>Distribution lists for covered businesses (global) FROM (source to confirm)</t>
  </si>
  <si>
    <t>P159</t>
  </si>
  <si>
    <t>Learning Management System (LMS) Administration</t>
  </si>
  <si>
    <t>Maintain training materials and administer training to various audiences.</t>
  </si>
  <si>
    <t>LMS (Enterprise); Workday</t>
  </si>
  <si>
    <t>Training completion reports, training modules FROM LMS (Enterprise)
Employee HR listings / cost centre reports FROM Workday</t>
  </si>
  <si>
    <t>P160</t>
  </si>
  <si>
    <t>Policy and Procedure Document Conformance</t>
  </si>
  <si>
    <t>Ensure governance documentation is maintained as the standards require.</t>
  </si>
  <si>
    <t>TD US Governance Repository</t>
  </si>
  <si>
    <t>TDGUS Governance Document Standard and appendices FROM TD US Governance Repository</t>
  </si>
  <si>
    <t>P161</t>
  </si>
  <si>
    <t>Compliance Communications Plan Maintenance</t>
  </si>
  <si>
    <t>Create and maintain the annual plan covering communications sent by Compliance and First Line Executives.</t>
  </si>
  <si>
    <t>Outlook; Shared drive</t>
  </si>
  <si>
    <t>Readership data FROM Corporate Communications Outlook
Communications distributed FROM PowerPoint and Word documents on shared drive</t>
  </si>
  <si>
    <t>P162</t>
  </si>
  <si>
    <t>Off-Channel Remediation</t>
  </si>
  <si>
    <t>Quarterly employee attestations and maintenance of frequently asked questions.</t>
  </si>
  <si>
    <t>Compliance Registrations Database; HR employee database; Pardot</t>
  </si>
  <si>
    <t>Registered employees roster FROM Compliance Registrations Database
TDS employee list FROM HR employee database
Completed attestation data FROM Pardot export
FAQs FROM Excel on shared drives (maintained by Compliance and Supervision)</t>
  </si>
  <si>
    <t>P163</t>
  </si>
  <si>
    <t>DOJ DPA Remediation - Conduct Metrics</t>
  </si>
  <si>
    <t>Compile conduct review metrics for reporting to various committees.</t>
  </si>
  <si>
    <t>ActOne (Actimize)</t>
  </si>
  <si>
    <t>Conduct metrics repository FROM ActOne (Actimize)</t>
  </si>
  <si>
    <t>P164</t>
  </si>
  <si>
    <t>Annual Regulatory Reports (FINRA / CFTC / SEC)</t>
  </si>
  <si>
    <t>Compile data for annual reports that meet regulatory requirements.</t>
  </si>
  <si>
    <t>Shared drive</t>
  </si>
  <si>
    <t>Previous submissions, current statistics on regulatory matters FROM Compliance shared drives</t>
  </si>
  <si>
    <t>P165</t>
  </si>
  <si>
    <t>Volcker Compliance - Covered Funds</t>
  </si>
  <si>
    <t>Review covered funds questionnaires and monitor fund categorization.</t>
  </si>
  <si>
    <t>Excel; Shared drive</t>
  </si>
  <si>
    <t>Completed questionnaires, covered funds list (maintained by Finance) FROM Excel on shared drives</t>
  </si>
  <si>
    <t>P166</t>
  </si>
  <si>
    <t>Policy Questions</t>
  </si>
  <si>
    <t>Respond to questions about firm policy.</t>
  </si>
  <si>
    <t>Firm policies FROM Compliance policies and procedures site / CODI</t>
  </si>
  <si>
    <t>P167</t>
  </si>
  <si>
    <t>Onboarding Records</t>
  </si>
  <si>
    <t>Produce onboarding records on demand and answer questions on AML / KYC documents, client agreements, QIB / Reg S certifications, client points of contact and authorized traders.</t>
  </si>
  <si>
    <t>Onboarding Team DB</t>
  </si>
  <si>
    <t>Onboarding documentation (AML / KYC, client agreements, QIB / Reg S certifications, contacts, authorized traders) FROM Cowen accounts, Onboarding Team DB (Orlando team)</t>
  </si>
  <si>
    <t>P168</t>
  </si>
  <si>
    <t>Registration Records (RRs, Branch / OSJ)</t>
  </si>
  <si>
    <t>Produce on-demand registration data for the firm's RRs and branch / OSJ data (dates opened, personnel, business activity / desk).</t>
  </si>
  <si>
    <t>FINRA WebCRD; Registration DB</t>
  </si>
  <si>
    <t>RR registration data FROM FINRA WebCRD
Branch / OSJ data FROM internal Registration DB</t>
  </si>
  <si>
    <t>P169</t>
  </si>
  <si>
    <t>E-Comms Records Retrieval</t>
  </si>
  <si>
    <t>Produce on-demand e-comms records (IBs, Teams, Outlook, etc.) by date range, direction, person or desk, with or without attachments.</t>
  </si>
  <si>
    <t>Bloomberg; Outlook; Behavox</t>
  </si>
  <si>
    <t>E-comms data FROM Bloomberg, Outlook servers, Behavox</t>
  </si>
  <si>
    <t>P170</t>
  </si>
  <si>
    <t>Knowledge Checks</t>
  </si>
  <si>
    <t>Create knowledge checks and generate completion reports for tracking.</t>
  </si>
  <si>
    <t>Pardot / Salesforce</t>
  </si>
  <si>
    <t>Knowledge check attestations, responses and completion statistics FROM Pardot / Salesforce</t>
  </si>
  <si>
    <t>P171</t>
  </si>
  <si>
    <t>Regulatory Risk Monitoring (FINRA Report Cards)</t>
  </si>
  <si>
    <t>Periodic review of FINRA report cards to identify trends, risk indicators and regulatory focus areas and to prepare for potential inquiries. Not relied upon as a sole control.</t>
  </si>
  <si>
    <t>FINRA Firm Gateway</t>
  </si>
  <si>
    <t>FINRA report cards FROM FINRA Firm Gateway</t>
  </si>
  <si>
    <t>P172</t>
  </si>
  <si>
    <t>Regulatory Reporting Advisory (TRACE, RTRS, ACT, CAT)</t>
  </si>
  <si>
    <t>Advise on regulatory trade reporting: new workflows, interpretation of requirements, diagnosis of reporting issues and trend analysis.</t>
  </si>
  <si>
    <t>FINRA TRACE; MSRB RTRS</t>
  </si>
  <si>
    <t>Regulatory reporting data (TRACE, RTRS, ACT, CAT) FROM reporting system APIs, internal firm logs</t>
  </si>
  <si>
    <t>P173</t>
  </si>
  <si>
    <t>Employee Conflicts Check (MSRB G-17)</t>
  </si>
  <si>
    <t>Support PF Origination RFP responses for negotiated municipal business by checking potential employee conflicts with the issuer; currently relies on employee self-reporting.</t>
  </si>
  <si>
    <t>STAR Compliance; OBA system; Excel</t>
  </si>
  <si>
    <t>Political contributions FROM STAR Compliance
Outside activities FROM TD internal OBA system
Gifts and entertainment (public officials) FROM Excel tracker (Z:\Compliance\G&amp;E)
Personal investments FROM STAR Compliance</t>
  </si>
  <si>
    <t>P174</t>
  </si>
  <si>
    <t>Trade Data Pulls (Municipal)</t>
  </si>
  <si>
    <t>Pull trade data for inquiries, Compliance Testing and Audit engagements; currently requires going to multiple teams depending on the system.</t>
  </si>
  <si>
    <t>Bloomberg; Pershing NetX360; MSRB RTRS</t>
  </si>
  <si>
    <t>Trade data FROM Bloomberg (6029)
Pershing trade data FROM NetX360
MSRB trade data FROM RTRS (msrb.org)</t>
  </si>
  <si>
    <t>P175</t>
  </si>
  <si>
    <t>Gifts &amp; Entertainment for Public Officials</t>
  </si>
  <si>
    <t>Sales request approval for G&amp;E given to public officials; emails and forms are retained on the N:\ drive and logged in Excel. Monthly, Coupa expenses are reviewed against the log for discrepancies.</t>
  </si>
  <si>
    <t>Excel; Coupa</t>
  </si>
  <si>
    <t>Salesperson, G&amp;E amount, description, customer FROM Excel log, N:\ drive
Expenses FROM Coupa</t>
  </si>
  <si>
    <t>P176</t>
  </si>
  <si>
    <t>TRACE Reporting</t>
  </si>
  <si>
    <t>Fixed income trades done on Bloomberg and ION are reported to FINRA TRACE.</t>
  </si>
  <si>
    <t>Bloomberg; ION; FINRA TRAQS / TRACE</t>
  </si>
  <si>
    <t>Fixed income transaction data FROM Bloomberg, ION, FINRA TRAQS / TRACE</t>
  </si>
  <si>
    <t>P177</t>
  </si>
  <si>
    <t>Market Access (SEC 15c3-5) Controls</t>
  </si>
  <si>
    <t>Firm and trader position risk limits and controls are set in each ATS used.</t>
  </si>
  <si>
    <t>Tradeweb; Dealerweb; BrokerTec</t>
  </si>
  <si>
    <t>Firm and trader risk limits FROM ATS venues (Tradeweb, Dealerweb, BrokerTec, etc.)
Rationale for controls FROM internal policies / documents</t>
  </si>
  <si>
    <t>P178</t>
  </si>
  <si>
    <t>Treasury Auctions</t>
  </si>
  <si>
    <t>As a Primary Dealer the firm bids at every Treasury auction; required activities are documented and retained.</t>
  </si>
  <si>
    <t>Shared drive; Group mailbox</t>
  </si>
  <si>
    <t>Auction and customer bid details, net long position reports FROM N: drive folders, group mailbox</t>
  </si>
  <si>
    <t>P179</t>
  </si>
  <si>
    <t>Back Office Data Analysis for Regulatory Inquiries</t>
  </si>
  <si>
    <t>Take SIGMA output and analyse the data to meet regulatory inquiry requirements.</t>
  </si>
  <si>
    <t>Broadridge (SIGMA)</t>
  </si>
  <si>
    <t>Back office data FROM Broadridge (SIGMA query tool)</t>
  </si>
  <si>
    <t>P180</t>
  </si>
  <si>
    <t>LOPR Reconciliation</t>
  </si>
  <si>
    <t>Compare the OCC LOPR snapshot to Sophis and Broadridge positions greater than 200 contracts.</t>
  </si>
  <si>
    <t>Sophis; Broadridge (SIGMA)</t>
  </si>
  <si>
    <t>Option positions and LOPR OCC snapshot FROM Sophis, Broadridge, SIGMA</t>
  </si>
  <si>
    <t>P181</t>
  </si>
  <si>
    <t>Swap Regulatory Reporting (Part 43 / 45)</t>
  </si>
  <si>
    <t>Operations own the capture of trade and counterparty details for reporting to Swap Data Repositories; Compliance oversight.</t>
  </si>
  <si>
    <t>Reg Tech (RRG); KOR</t>
  </si>
  <si>
    <t>Trade and counterparty details FROM Reg Tech, KOR (novation in progress), RRG</t>
  </si>
  <si>
    <t>P182</t>
  </si>
  <si>
    <t>Swap Data Repository Reconciliation</t>
  </si>
  <si>
    <t>SEC and CFTC require SDs and SBSDs to reconcile data reported to Swap Data Repositories.</t>
  </si>
  <si>
    <t>DTCC; Novatus</t>
  </si>
  <si>
    <t>DTCC position report vs source systems FROM DTCC, source systems, Novatus (project in progress), RRG</t>
  </si>
  <si>
    <t>P183</t>
  </si>
  <si>
    <t>Client Data - Dodd-Frank Classification</t>
  </si>
  <si>
    <t>Create reports or view data on Dodd-Frank classification and DF Protocol 1 / 2.</t>
  </si>
  <si>
    <t>PETR</t>
  </si>
  <si>
    <t>Dodd-Frank client status, special entity status, prime broker accounts, U.S. person status FROM PETR</t>
  </si>
  <si>
    <t>P184</t>
  </si>
  <si>
    <t>Swap Dealer Marketing Materials Review</t>
  </si>
  <si>
    <t>All Swap Dealer marketing materials are sent to a mailbox for recordkeeping and review.</t>
  </si>
  <si>
    <t>Outlook</t>
  </si>
  <si>
    <t>Marketing materials (PowerPoint via email) FROM Swap Dealer marketing materials mailbox</t>
  </si>
  <si>
    <t>P185</t>
  </si>
  <si>
    <t>Third Party Compliance Review</t>
  </si>
  <si>
    <t>Case-by-case review of TDS-specific third-party vendors for risks and associated LRRs (primarily Core Compliance).</t>
  </si>
  <si>
    <t>Vendor information FROM (source to confirm)</t>
  </si>
  <si>
    <t>Added from 2026 Compliance AI data survey; pending team validation. Survey notes this primarily sits with Core Compliance.</t>
  </si>
  <si>
    <t>P186</t>
  </si>
  <si>
    <t>Books and Records Inventory</t>
  </si>
  <si>
    <t>Identify which books and records sit in which system and which requirement (FINRA 17a-3 / 17a-4, SEC 18a-6, CFTC, etc.) applies.</t>
  </si>
  <si>
    <t>FileNet; Smarsh; Broadridge; Proofpoint; Global Relay; Theta Lake; FIS; SIRS; Workday; PeopleSoft; GoldTier; MS Azure</t>
  </si>
  <si>
    <t>Books and records FROM FileNet, Smarsh, Broadridge, Proofpoint, Global Relay, Theta Lake, FIS, SIRS, Workday, PeopleSoft, shared file server, MS Azure
E-comms (Teams, MS, Webex) FROM Smarsh; ledgers and account information FROM FileNet, GoldTier</t>
  </si>
  <si>
    <t>P187</t>
  </si>
  <si>
    <t>Compliance Risk Assessment Package</t>
  </si>
  <si>
    <t>Annual consolidated compliance risk assessment package: BU control inventory, issues summary, control effectiveness rating and LRR detail (topic and citation) with annual risk rating.</t>
  </si>
  <si>
    <t>Control inventory, issues, control effectiveness, LRR ratings FROM MERLIN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</si>
</sst>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sz val="11"/>
      <color rgb="FFFF0000"/>
      <name val="Calibri"/>
      <family val="2"/>
      <scheme val="minor"/>
    </font>
    <font>
      <b/>
      <sz val="11"/>
      <color theme="1"/>
      <name val="Calibri"/>
      <family val="2"/>
      <scheme val="minor"/>
    </font>
    <font>
      <sz val="10"/>
      <color theme="1"/>
      <name val="Calibri"/>
      <family val="2"/>
      <scheme val="minor"/>
    </font>
    <font>
      <b/>
      <sz val="10"/>
      <color rgb="FFFF0000"/>
      <name val="Calibri"/>
      <family val="2"/>
      <scheme val="minor"/>
    </font>
    <font>
      <b/>
      <sz val="10"/>
      <color theme="1"/>
      <name val="Calibri"/>
      <family val="2"/>
      <scheme val="minor"/>
    </font>
    <font>
      <b/>
      <sz val="10"/>
      <color rgb="FF000000"/>
      <name val="Calibri"/>
      <family val="2"/>
      <scheme val="minor"/>
    </font>
    <font>
      <sz val="10"/>
      <color rgb="FF000000"/>
      <name val="Calibri"/>
      <family val="2"/>
      <scheme val="minor"/>
    </font>
    <font>
      <sz val="10"/>
      <color rgb="FFFF0000"/>
      <name val="Calibri"/>
      <family val="2"/>
      <scheme val="minor"/>
    </font>
    <font>
      <i/>
      <sz val="10"/>
      <color theme="1"/>
      <name val="Calibri"/>
      <family val="2"/>
      <scheme val="minor"/>
    </font>
    <font>
      <sz val="11"/>
      <name val="Calibri"/>
      <family val="2"/>
      <scheme val="minor"/>
    </font>
    <font>
      <sz val="11"/>
      <color rgb="FF000000"/>
      <name val="Calibri"/>
      <family val="2"/>
      <scheme val="minor"/>
    </font>
    <font>
      <strike/>
      <sz val="11"/>
      <name val="Calibri"/>
      <family val="2"/>
      <scheme val="minor"/>
    </font>
    <font>
      <strike/>
      <sz val="11"/>
      <color theme="1"/>
      <name val="Calibri"/>
      <family val="2"/>
      <scheme val="minor"/>
    </font>
    <font>
      <strike/>
      <sz val="10"/>
      <color theme="1"/>
      <name val="Calibri"/>
      <family val="2"/>
      <scheme val="minor"/>
    </font>
    <font>
      <strike/>
      <sz val="11"/>
      <color rgb="FF000000"/>
      <name val="Calibri"/>
      <family val="2"/>
      <scheme val="minor"/>
    </font>
    <font>
      <sz val="11"/>
      <color indexed="8"/>
      <name val="Calibri"/>
      <family val="2"/>
      <scheme val="minor"/>
    </font>
    <font>
      <sz val="11"/>
      <name val="Calibri"/>
      <family val="2"/>
      <scheme val="minor"/>
    </font>
    <font>
      <sz val="11"/>
      <color rgb="FFFF0000"/>
      <name val="Calibri"/>
      <family val="2"/>
      <scheme val="minor"/>
    </font>
    <font>
      <sz val="11"/>
      <color rgb="FFC00000"/>
      <name val="Calibri"/>
      <family val="2"/>
      <scheme val="minor"/>
    </font>
    <font>
      <strike/>
      <sz val="11"/>
      <color rgb="FFC00000"/>
      <name val="Calibri"/>
      <family val="2"/>
      <scheme val="minor"/>
    </font>
    <font>
      <sz val="11"/>
      <color rgb="FFC00000"/>
      <name val="Calibri"/>
      <family val="2"/>
      <scheme val="minor"/>
    </font>
    <font>
      <i/>
      <sz val="11"/>
      <color theme="1"/>
      <name val="Calibri"/>
      <family val="2"/>
      <scheme val="minor"/>
    </font>
    <font>
      <b/>
      <sz val="10"/>
      <name val="Calibri"/>
      <family val="2"/>
      <scheme val="minor"/>
    </font>
    <font>
      <sz val="8"/>
      <name val="Calibri"/>
      <family val="2"/>
      <scheme val="minor"/>
    </font>
    <font>
      <sz val="11"/>
      <color theme="4"/>
      <name val="Calibri"/>
      <family val="2"/>
      <scheme val="minor"/>
    </font>
    <font>
      <b/>
      <sz val="9"/>
      <color theme="1"/>
      <name val="Calibri"/>
      <family val="2"/>
      <scheme val="minor"/>
    </font>
    <font>
      <b/>
      <sz val="11"/>
      <color rgb="FF000000"/>
      <name val="Calibri"/>
      <family val="2"/>
    </font>
  </fonts>
  <fills count="13">
    <fill>
      <patternFill patternType="none"/>
    </fill>
    <fill>
      <patternFill patternType="gray125"/>
    </fill>
    <fill>
      <patternFill patternType="solid">
        <fgColor theme="8" tint="0.79998168889431442"/>
        <bgColor indexed="64"/>
      </patternFill>
    </fill>
    <fill>
      <patternFill patternType="solid">
        <fgColor theme="4" tint="0.59999389629810485"/>
        <bgColor indexed="64"/>
      </patternFill>
    </fill>
    <fill>
      <patternFill patternType="solid">
        <fgColor rgb="FFCCFFCC"/>
        <bgColor indexed="64"/>
      </patternFill>
    </fill>
    <fill>
      <patternFill patternType="solid">
        <fgColor theme="7" tint="0.79998168889431442"/>
        <bgColor indexed="64"/>
      </patternFill>
    </fill>
    <fill>
      <patternFill patternType="solid">
        <fgColor rgb="FFFCE4D6"/>
        <bgColor rgb="FF000000"/>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bgColor indexed="64"/>
      </patternFill>
    </fill>
    <fill>
      <patternFill patternType="solid">
        <fgColor theme="2"/>
        <bgColor indexed="64"/>
      </patternFill>
    </fill>
    <fill>
      <patternFill patternType="solid">
        <fgColor rgb="FFFFFF00"/>
        <bgColor rgb="FF000000"/>
      </patternFill>
    </fill>
  </fills>
  <borders count="11">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right style="hair">
        <color indexed="64"/>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6" fillId="0" borderId="0"/>
  </cellStyleXfs>
  <cellXfs count="134">
    <xf numFmtId="0" fontId="0" fillId="0" borderId="0" xfId="0"/>
    <xf numFmtId="0" fontId="3" fillId="2" borderId="1" xfId="0" applyFont="1" applyFill="1" applyBorder="1" applyAlignment="1">
      <alignment horizontal="center" vertical="center"/>
    </xf>
    <xf numFmtId="0" fontId="4" fillId="2" borderId="1" xfId="0" applyFont="1" applyFill="1" applyBorder="1" applyAlignment="1">
      <alignment vertical="center" wrapText="1"/>
    </xf>
    <xf numFmtId="0" fontId="5"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3" fillId="2" borderId="1" xfId="0" applyFont="1" applyFill="1" applyBorder="1" applyAlignment="1">
      <alignment vertical="center"/>
    </xf>
    <xf numFmtId="0" fontId="3" fillId="2" borderId="1" xfId="0" applyFont="1" applyFill="1" applyBorder="1" applyAlignment="1">
      <alignment vertical="center" wrapText="1"/>
    </xf>
    <xf numFmtId="0" fontId="3" fillId="0" borderId="0" xfId="0" applyFont="1" applyAlignment="1">
      <alignment vertical="center"/>
    </xf>
    <xf numFmtId="0" fontId="8" fillId="0" borderId="0" xfId="0" applyFont="1" applyAlignment="1">
      <alignment vertical="center"/>
    </xf>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8" fillId="0" borderId="0" xfId="0" applyFont="1" applyAlignment="1">
      <alignment horizontal="center" vertical="center" wrapText="1"/>
    </xf>
    <xf numFmtId="0" fontId="3" fillId="0" borderId="0" xfId="0" applyFont="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wrapText="1" readingOrder="1"/>
    </xf>
    <xf numFmtId="0" fontId="10" fillId="0" borderId="1" xfId="0" applyFont="1" applyBorder="1" applyAlignment="1">
      <alignment horizontal="left" vertical="center" wrapText="1"/>
    </xf>
    <xf numFmtId="0" fontId="1" fillId="0" borderId="1" xfId="0" applyFont="1"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vertical="center" wrapText="1"/>
    </xf>
    <xf numFmtId="0" fontId="3" fillId="0" borderId="1" xfId="0" applyFont="1" applyBorder="1" applyAlignment="1">
      <alignment horizontal="center" vertical="center"/>
    </xf>
    <xf numFmtId="0" fontId="0" fillId="0" borderId="1" xfId="0" applyBorder="1" applyAlignment="1">
      <alignment vertical="center"/>
    </xf>
    <xf numFmtId="0" fontId="0" fillId="0" borderId="0" xfId="0" applyAlignment="1">
      <alignment vertical="center" wrapText="1"/>
    </xf>
    <xf numFmtId="0" fontId="0" fillId="0" borderId="0" xfId="0" applyAlignment="1">
      <alignment vertical="center"/>
    </xf>
    <xf numFmtId="0" fontId="1" fillId="0" borderId="1" xfId="0" applyFont="1" applyBorder="1" applyAlignment="1">
      <alignment vertical="center"/>
    </xf>
    <xf numFmtId="49" fontId="1" fillId="0" borderId="0" xfId="0" applyNumberFormat="1" applyFont="1"/>
    <xf numFmtId="0" fontId="1" fillId="0" borderId="0" xfId="0" applyFont="1" applyAlignment="1">
      <alignment vertical="center" wrapText="1"/>
    </xf>
    <xf numFmtId="0" fontId="10" fillId="9" borderId="1" xfId="0" applyFont="1" applyFill="1" applyBorder="1" applyAlignment="1">
      <alignment horizontal="left" vertical="center" wrapText="1" readingOrder="1"/>
    </xf>
    <xf numFmtId="0" fontId="1" fillId="10" borderId="1" xfId="0" applyFont="1" applyFill="1" applyBorder="1" applyAlignment="1">
      <alignment horizontal="left" vertical="center" wrapText="1" readingOrder="1"/>
    </xf>
    <xf numFmtId="0" fontId="1" fillId="10" borderId="1" xfId="0" applyFont="1" applyFill="1"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xf numFmtId="0" fontId="1" fillId="0" borderId="1" xfId="0" applyFont="1" applyBorder="1" applyAlignment="1">
      <alignment horizontal="center" vertical="center"/>
    </xf>
    <xf numFmtId="0" fontId="13" fillId="9" borderId="1" xfId="0" applyFont="1" applyFill="1" applyBorder="1" applyAlignment="1">
      <alignment horizontal="center" vertical="center" wrapText="1"/>
    </xf>
    <xf numFmtId="0" fontId="13" fillId="9" borderId="1" xfId="0" applyFont="1" applyFill="1" applyBorder="1" applyAlignment="1">
      <alignment vertical="center" wrapText="1"/>
    </xf>
    <xf numFmtId="0" fontId="12" fillId="9" borderId="1" xfId="0" applyFont="1" applyFill="1" applyBorder="1" applyAlignment="1">
      <alignment horizontal="left" vertical="center" wrapText="1"/>
    </xf>
    <xf numFmtId="0" fontId="12" fillId="9" borderId="1" xfId="0" applyFont="1" applyFill="1" applyBorder="1" applyAlignment="1">
      <alignment horizontal="center" vertical="center" wrapText="1"/>
    </xf>
    <xf numFmtId="0" fontId="13" fillId="9" borderId="1" xfId="0" applyFont="1" applyFill="1" applyBorder="1" applyAlignment="1">
      <alignment horizontal="center" vertical="center"/>
    </xf>
    <xf numFmtId="0" fontId="14" fillId="9" borderId="1" xfId="0" applyFont="1" applyFill="1" applyBorder="1" applyAlignment="1">
      <alignment horizontal="center" vertical="center"/>
    </xf>
    <xf numFmtId="0" fontId="13" fillId="9" borderId="1" xfId="0" applyFont="1" applyFill="1" applyBorder="1" applyAlignment="1">
      <alignment vertical="center"/>
    </xf>
    <xf numFmtId="0" fontId="13" fillId="9" borderId="0" xfId="0" applyFont="1" applyFill="1" applyAlignment="1">
      <alignment vertical="center"/>
    </xf>
    <xf numFmtId="0" fontId="1" fillId="0" borderId="1" xfId="0" applyFont="1" applyBorder="1" applyAlignment="1">
      <alignment vertical="center" wrapText="1"/>
    </xf>
    <xf numFmtId="0" fontId="0" fillId="2" borderId="1" xfId="0" applyFill="1" applyBorder="1" applyAlignment="1">
      <alignment vertical="center"/>
    </xf>
    <xf numFmtId="0" fontId="11" fillId="0" borderId="1" xfId="0" applyFont="1" applyBorder="1" applyAlignment="1">
      <alignment vertical="center" wrapText="1"/>
    </xf>
    <xf numFmtId="0" fontId="0" fillId="10" borderId="1" xfId="0" applyFill="1" applyBorder="1" applyAlignment="1">
      <alignment vertical="center" wrapText="1"/>
    </xf>
    <xf numFmtId="0" fontId="0" fillId="9" borderId="1" xfId="0" applyFill="1" applyBorder="1" applyAlignment="1">
      <alignment horizontal="left" vertical="center" wrapText="1"/>
    </xf>
    <xf numFmtId="0" fontId="1" fillId="10" borderId="1" xfId="0" applyFont="1" applyFill="1" applyBorder="1" applyAlignment="1">
      <alignment horizontal="left" vertical="center" wrapText="1"/>
    </xf>
    <xf numFmtId="0" fontId="10" fillId="0" borderId="1" xfId="0" applyFont="1" applyBorder="1" applyAlignment="1">
      <alignment vertical="center" wrapText="1"/>
    </xf>
    <xf numFmtId="0" fontId="13" fillId="9" borderId="1" xfId="0" applyFont="1" applyFill="1" applyBorder="1" applyAlignment="1">
      <alignment horizontal="left" vertical="center" wrapText="1"/>
    </xf>
    <xf numFmtId="0" fontId="1" fillId="0" borderId="1" xfId="0" applyFont="1" applyBorder="1" applyAlignment="1">
      <alignment horizontal="center" vertical="center" wrapText="1"/>
    </xf>
    <xf numFmtId="0" fontId="8" fillId="0" borderId="1" xfId="0" applyFont="1" applyBorder="1" applyAlignment="1">
      <alignment horizontal="center" vertical="center"/>
    </xf>
    <xf numFmtId="0" fontId="1" fillId="0" borderId="0" xfId="0" applyFont="1" applyAlignment="1">
      <alignment vertical="center"/>
    </xf>
    <xf numFmtId="0" fontId="1" fillId="10" borderId="1" xfId="0" applyFont="1" applyFill="1" applyBorder="1" applyAlignment="1">
      <alignment horizontal="center" vertical="center"/>
    </xf>
    <xf numFmtId="0" fontId="1" fillId="10" borderId="1" xfId="0" applyFont="1" applyFill="1" applyBorder="1" applyAlignment="1">
      <alignment vertical="center"/>
    </xf>
    <xf numFmtId="0" fontId="1" fillId="10" borderId="1" xfId="0" applyFont="1" applyFill="1" applyBorder="1" applyAlignment="1">
      <alignment horizontal="center" vertical="center" wrapText="1"/>
    </xf>
    <xf numFmtId="0" fontId="8" fillId="10" borderId="1" xfId="0" applyFont="1" applyFill="1" applyBorder="1" applyAlignment="1">
      <alignment horizontal="center" vertical="center"/>
    </xf>
    <xf numFmtId="0" fontId="1" fillId="10" borderId="0" xfId="0" applyFont="1" applyFill="1" applyAlignment="1">
      <alignment vertical="center"/>
    </xf>
    <xf numFmtId="0" fontId="0" fillId="9" borderId="1" xfId="0" applyFill="1" applyBorder="1" applyAlignment="1">
      <alignment horizontal="center" vertical="center"/>
    </xf>
    <xf numFmtId="0" fontId="0" fillId="9" borderId="1" xfId="0" applyFill="1" applyBorder="1" applyAlignment="1">
      <alignment vertical="center" wrapText="1"/>
    </xf>
    <xf numFmtId="0" fontId="0" fillId="9" borderId="1" xfId="0" applyFill="1" applyBorder="1" applyAlignment="1">
      <alignment vertical="center"/>
    </xf>
    <xf numFmtId="0" fontId="10" fillId="9" borderId="1" xfId="0" applyFont="1" applyFill="1" applyBorder="1" applyAlignment="1">
      <alignment horizontal="center" vertical="center" wrapText="1"/>
    </xf>
    <xf numFmtId="0" fontId="3" fillId="9" borderId="1" xfId="0" applyFont="1" applyFill="1" applyBorder="1" applyAlignment="1">
      <alignment horizontal="center" vertical="center"/>
    </xf>
    <xf numFmtId="0" fontId="0" fillId="9" borderId="0" xfId="0" applyFill="1" applyAlignment="1">
      <alignment vertical="center"/>
    </xf>
    <xf numFmtId="0" fontId="1" fillId="0" borderId="1" xfId="0" applyFont="1" applyBorder="1" applyAlignment="1">
      <alignment horizontal="left" vertical="center" wrapText="1" readingOrder="1"/>
    </xf>
    <xf numFmtId="0" fontId="1" fillId="2" borderId="1" xfId="0" applyFont="1" applyFill="1" applyBorder="1" applyAlignment="1">
      <alignment vertical="center"/>
    </xf>
    <xf numFmtId="49" fontId="1" fillId="0" borderId="1" xfId="0" applyNumberFormat="1" applyFont="1" applyBorder="1" applyAlignment="1">
      <alignment horizontal="center" vertical="center"/>
    </xf>
    <xf numFmtId="49" fontId="0" fillId="0" borderId="1" xfId="0" applyNumberFormat="1" applyBorder="1" applyAlignment="1">
      <alignment horizontal="center" vertical="center"/>
    </xf>
    <xf numFmtId="0" fontId="0" fillId="0" borderId="0" xfId="0" applyAlignment="1">
      <alignment horizontal="center" vertical="center"/>
    </xf>
    <xf numFmtId="0" fontId="0" fillId="0" borderId="0" xfId="0" applyAlignment="1">
      <alignment horizontal="left" vertical="center" wrapText="1"/>
    </xf>
    <xf numFmtId="0" fontId="17" fillId="0" borderId="1" xfId="0" applyFont="1" applyBorder="1" applyAlignment="1">
      <alignment horizontal="left" vertical="center" wrapText="1"/>
    </xf>
    <xf numFmtId="0" fontId="1" fillId="0" borderId="7" xfId="0" applyFont="1" applyBorder="1" applyAlignment="1">
      <alignment wrapText="1"/>
    </xf>
    <xf numFmtId="0" fontId="18" fillId="0" borderId="1" xfId="0" applyFont="1" applyBorder="1" applyAlignment="1">
      <alignment horizontal="left" vertical="center" wrapText="1"/>
    </xf>
    <xf numFmtId="0" fontId="0" fillId="0" borderId="0" xfId="0" applyAlignment="1">
      <alignment vertical="top"/>
    </xf>
    <xf numFmtId="0" fontId="0" fillId="10" borderId="1" xfId="0" applyFill="1" applyBorder="1" applyAlignment="1">
      <alignment vertical="center"/>
    </xf>
    <xf numFmtId="0" fontId="1" fillId="10" borderId="1" xfId="0" applyFont="1" applyFill="1" applyBorder="1" applyAlignment="1">
      <alignment horizontal="left" vertical="center"/>
    </xf>
    <xf numFmtId="0" fontId="19" fillId="0" borderId="1" xfId="0" applyFont="1" applyBorder="1" applyAlignment="1">
      <alignment horizontal="left" vertical="center" readingOrder="1"/>
    </xf>
    <xf numFmtId="0" fontId="19" fillId="0" borderId="0" xfId="0" applyFont="1" applyAlignment="1">
      <alignment horizontal="left" vertical="center" readingOrder="1"/>
    </xf>
    <xf numFmtId="0" fontId="19" fillId="10" borderId="1" xfId="0" applyFont="1" applyFill="1" applyBorder="1" applyAlignment="1">
      <alignment horizontal="left" vertical="center" readingOrder="1"/>
    </xf>
    <xf numFmtId="0" fontId="19" fillId="10" borderId="1" xfId="0" applyFont="1" applyFill="1" applyBorder="1" applyAlignment="1">
      <alignment vertical="center"/>
    </xf>
    <xf numFmtId="0" fontId="19" fillId="0" borderId="1" xfId="0" applyFont="1" applyBorder="1" applyAlignment="1">
      <alignment horizontal="left" vertical="center"/>
    </xf>
    <xf numFmtId="0" fontId="19" fillId="0" borderId="1" xfId="0" applyFont="1" applyBorder="1" applyAlignment="1">
      <alignment vertical="center"/>
    </xf>
    <xf numFmtId="0" fontId="20" fillId="9" borderId="1" xfId="0" applyFont="1" applyFill="1" applyBorder="1" applyAlignment="1">
      <alignment vertical="center"/>
    </xf>
    <xf numFmtId="0" fontId="19" fillId="9" borderId="1" xfId="0" applyFont="1" applyFill="1" applyBorder="1" applyAlignment="1">
      <alignment horizontal="left" vertical="center"/>
    </xf>
    <xf numFmtId="0" fontId="19" fillId="10" borderId="1" xfId="0" applyFont="1" applyFill="1" applyBorder="1" applyAlignment="1">
      <alignment horizontal="left" vertical="center"/>
    </xf>
    <xf numFmtId="0" fontId="20" fillId="9" borderId="1" xfId="0" applyFont="1" applyFill="1" applyBorder="1" applyAlignment="1">
      <alignment horizontal="left" vertical="center"/>
    </xf>
    <xf numFmtId="0" fontId="21" fillId="0" borderId="1" xfId="0" applyFont="1" applyBorder="1" applyAlignment="1">
      <alignment horizontal="left" vertical="center"/>
    </xf>
    <xf numFmtId="0" fontId="19" fillId="0" borderId="0" xfId="0" applyFont="1" applyAlignment="1">
      <alignment horizontal="left" vertical="center"/>
    </xf>
    <xf numFmtId="0" fontId="0" fillId="10" borderId="1" xfId="0" applyFill="1" applyBorder="1" applyAlignment="1">
      <alignment horizontal="left" vertical="center" wrapText="1"/>
    </xf>
    <xf numFmtId="0" fontId="0" fillId="10" borderId="1" xfId="0" applyFill="1" applyBorder="1" applyAlignment="1">
      <alignment horizontal="center" vertical="center"/>
    </xf>
    <xf numFmtId="0" fontId="10" fillId="10" borderId="1" xfId="0" applyFont="1" applyFill="1" applyBorder="1" applyAlignment="1">
      <alignment horizontal="center" vertical="center" wrapText="1"/>
    </xf>
    <xf numFmtId="0" fontId="3" fillId="10" borderId="1" xfId="0" applyFont="1" applyFill="1" applyBorder="1" applyAlignment="1">
      <alignment horizontal="center" vertical="center"/>
    </xf>
    <xf numFmtId="0" fontId="0" fillId="10" borderId="0" xfId="0" applyFill="1" applyAlignment="1">
      <alignment vertical="center"/>
    </xf>
    <xf numFmtId="0" fontId="10" fillId="10" borderId="1" xfId="0" applyFont="1" applyFill="1" applyBorder="1" applyAlignment="1">
      <alignment horizontal="left" vertical="center" wrapText="1" readingOrder="1"/>
    </xf>
    <xf numFmtId="0" fontId="6" fillId="2"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11" fillId="0" borderId="1" xfId="0" applyFont="1" applyBorder="1" applyAlignment="1">
      <alignment horizontal="left" vertical="center" wrapText="1"/>
    </xf>
    <xf numFmtId="0" fontId="0" fillId="0" borderId="0" xfId="0" applyAlignment="1">
      <alignment horizontal="left" vertical="top"/>
    </xf>
    <xf numFmtId="0" fontId="2" fillId="9" borderId="0" xfId="0" applyFont="1" applyFill="1" applyAlignment="1">
      <alignment horizontal="left" vertical="top"/>
    </xf>
    <xf numFmtId="0" fontId="0" fillId="9" borderId="0" xfId="0" applyFill="1" applyAlignment="1">
      <alignment horizontal="left" vertical="center" wrapText="1"/>
    </xf>
    <xf numFmtId="0" fontId="0" fillId="9" borderId="0" xfId="0" applyFill="1" applyAlignment="1">
      <alignment horizontal="center" vertical="center"/>
    </xf>
    <xf numFmtId="0" fontId="6" fillId="11" borderId="1" xfId="0" applyFont="1" applyFill="1" applyBorder="1" applyAlignment="1">
      <alignment horizontal="center" vertical="center" wrapText="1"/>
    </xf>
    <xf numFmtId="0" fontId="2" fillId="0" borderId="0" xfId="0" applyFont="1" applyAlignment="1">
      <alignment vertical="center"/>
    </xf>
    <xf numFmtId="0" fontId="0" fillId="9" borderId="0" xfId="0" applyFill="1" applyAlignment="1">
      <alignment horizontal="center" vertical="top"/>
    </xf>
    <xf numFmtId="0" fontId="0" fillId="9" borderId="0" xfId="0" applyFill="1" applyAlignment="1">
      <alignment vertical="top"/>
    </xf>
    <xf numFmtId="0" fontId="6" fillId="2" borderId="1" xfId="0" applyFont="1" applyFill="1" applyBorder="1" applyAlignment="1">
      <alignment horizontal="center" vertical="top" wrapText="1"/>
    </xf>
    <xf numFmtId="0" fontId="11" fillId="0" borderId="1" xfId="0" applyFont="1" applyBorder="1" applyAlignment="1">
      <alignment horizontal="left" vertical="top" wrapText="1"/>
    </xf>
    <xf numFmtId="0" fontId="25" fillId="0" borderId="1" xfId="0" applyFont="1" applyBorder="1" applyAlignment="1">
      <alignment horizontal="left" vertical="center" wrapText="1"/>
    </xf>
    <xf numFmtId="0" fontId="25" fillId="0" borderId="0" xfId="0" applyFont="1" applyAlignment="1">
      <alignment vertical="center"/>
    </xf>
    <xf numFmtId="0" fontId="26" fillId="0" borderId="0" xfId="0" applyFont="1" applyAlignment="1">
      <alignment horizontal="center" vertical="center" wrapText="1"/>
    </xf>
    <xf numFmtId="0" fontId="11" fillId="10" borderId="1" xfId="0" applyFont="1" applyFill="1" applyBorder="1" applyAlignment="1">
      <alignment horizontal="left" vertical="center" wrapText="1"/>
    </xf>
    <xf numFmtId="0" fontId="11" fillId="10" borderId="1" xfId="0" applyFont="1" applyFill="1" applyBorder="1" applyAlignment="1">
      <alignment horizontal="left" vertical="top" wrapText="1"/>
    </xf>
    <xf numFmtId="0" fontId="27" fillId="12" borderId="0" xfId="0" applyFont="1" applyFill="1"/>
    <xf numFmtId="0" fontId="27" fillId="12" borderId="0" xfId="0" applyFont="1" applyFill="1" applyAlignment="1">
      <alignment horizontal="left" vertical="top"/>
    </xf>
    <xf numFmtId="0" fontId="0" fillId="0" borderId="10" xfId="0" applyBorder="1" applyAlignment="1">
      <alignment wrapText="1"/>
    </xf>
    <xf numFmtId="0" fontId="5" fillId="3" borderId="1" xfId="0" applyFont="1" applyFill="1" applyBorder="1" applyAlignment="1">
      <alignment horizontal="center" vertical="center"/>
    </xf>
    <xf numFmtId="0" fontId="5" fillId="4" borderId="1" xfId="0" applyFont="1" applyFill="1" applyBorder="1" applyAlignment="1">
      <alignment horizontal="center" vertical="center"/>
    </xf>
    <xf numFmtId="0" fontId="0" fillId="7" borderId="4" xfId="0" applyFill="1" applyBorder="1" applyAlignment="1">
      <alignment horizontal="center" vertical="center" wrapText="1"/>
    </xf>
    <xf numFmtId="0" fontId="0" fillId="7" borderId="5" xfId="0" applyFill="1" applyBorder="1" applyAlignment="1">
      <alignment horizontal="center" vertical="center" wrapText="1"/>
    </xf>
    <xf numFmtId="0" fontId="3" fillId="8" borderId="8" xfId="0" applyFont="1" applyFill="1" applyBorder="1" applyAlignment="1">
      <alignment horizontal="center" vertical="center"/>
    </xf>
    <xf numFmtId="0" fontId="3" fillId="8" borderId="9" xfId="0" applyFont="1" applyFill="1" applyBorder="1" applyAlignment="1">
      <alignment horizontal="center" vertical="center"/>
    </xf>
    <xf numFmtId="0" fontId="6" fillId="6" borderId="2" xfId="0" applyFont="1" applyFill="1" applyBorder="1" applyAlignment="1">
      <alignment horizontal="center" vertical="center" wrapText="1"/>
    </xf>
    <xf numFmtId="0" fontId="6" fillId="6" borderId="5" xfId="0" applyFont="1" applyFill="1" applyBorder="1" applyAlignment="1">
      <alignment horizontal="center" vertical="center" wrapText="1"/>
    </xf>
    <xf numFmtId="0" fontId="7" fillId="6" borderId="2" xfId="0" applyFont="1" applyFill="1" applyBorder="1" applyAlignment="1">
      <alignment horizontal="center" vertical="center" wrapText="1"/>
    </xf>
    <xf numFmtId="0" fontId="7" fillId="6" borderId="5" xfId="0" applyFont="1" applyFill="1" applyBorder="1" applyAlignment="1">
      <alignment horizontal="center" vertical="center" wrapText="1"/>
    </xf>
    <xf numFmtId="0" fontId="3" fillId="7" borderId="4" xfId="0" applyFont="1" applyFill="1" applyBorder="1" applyAlignment="1">
      <alignment horizontal="center" vertical="center" wrapText="1"/>
    </xf>
    <xf numFmtId="0" fontId="3" fillId="7" borderId="5" xfId="0" applyFont="1" applyFill="1" applyBorder="1" applyAlignment="1">
      <alignment horizontal="center" vertical="center" wrapText="1"/>
    </xf>
    <xf numFmtId="0" fontId="5" fillId="5"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8" borderId="1" xfId="0" applyFont="1" applyFill="1" applyBorder="1" applyAlignment="1">
      <alignment horizontal="center" vertical="center"/>
    </xf>
    <xf numFmtId="0" fontId="3" fillId="7" borderId="3" xfId="0" applyFont="1" applyFill="1" applyBorder="1" applyAlignment="1">
      <alignment horizontal="center" vertical="center" wrapText="1"/>
    </xf>
    <xf numFmtId="0" fontId="3" fillId="7" borderId="6" xfId="0" applyFont="1" applyFill="1" applyBorder="1" applyAlignment="1">
      <alignment horizontal="center" vertical="center" wrapText="1"/>
    </xf>
    <xf numFmtId="0" fontId="10" fillId="0" borderId="1" xfId="0" applyFont="1" applyBorder="1" applyAlignment="1">
      <alignment horizontal="left" vertical="top" wrapText="1"/>
    </xf>
  </cellXfs>
  <cellStyles count="2">
    <cellStyle name="Normal" xfId="0" builtinId="0"/>
    <cellStyle name="Normal 2" xfId="1" xr:uid="{EAAD1B11-E3E7-469E-A9E9-464D054DDA1A}"/>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microsoft.com/office/2019/04/relationships/externalLinkLongPath" Target="https://myteam.td.com/sites/tr-cs-repository/CCODB/Project%20Library/Projects/E.%20EDMO%20Data%20Governance%20&amp;%20DQ%20Mgmt/Data%20Mgmt%20Prioritization%20Plan%20&amp;%20Data%20Strategy/02.%20Compliance%20Process%20Inventory%20-%20Ph2/LOB%20Process%20Inventory/Worksheet%20in%20Business%20Glossary%20Deck%20-%20September%2020%202021.pptx%20%20-%20%20Read-Only?4C57D305" TargetMode="External"/><Relationship Id="rId1" Type="http://schemas.openxmlformats.org/officeDocument/2006/relationships/externalLinkPath" Target="file:///\\4C57D305\Worksheet%20in%20Business%20Glossary%20Deck%20-%20September%2020%202021.pptx%20%20-%20%20Read-Only"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asoc01sdprs01.tdbfg.com\c04754_wkssv_s_01\ERM\Risk%20Management\Data%20Governance\Dept%20Files\Risk%20Mngt%20DGSS\US%20RCR%20CDE%20Selector%20Tool%20DRAFT%20(per%20v1.2).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X:\Consumer%20Bank%20Data%20Governance\CDE%20Decisioning%20Tree%20and%20Workbook_CBDG_FY19.xlsm"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myteam.td.com/teams/ComplianceTransformationRoadtoStrong/Data%20Quality/Data%20Quality/EDMO/B.%20EDMO%20Phase%202%20DM/2026%20RTS%20Data%20Plan/Compliance%20Data%20Supply%20Chain%20Planning%20V3_Diana%20(June2026.xlsx" TargetMode="External"/><Relationship Id="rId1" Type="http://schemas.openxmlformats.org/officeDocument/2006/relationships/externalLinkPath" Target="https://myteam.td.com/teams/ComplianceTransformationRoadtoStrong/Data%20Quality/Data%20Quality/EDMO/B.%20EDMO%20Phase%202%20DM/2026%20RTS%20Data%20Plan/Compliance%20Data%20Supply%20Chain%20Planning%20V3_Diana%20(June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Inventory Artifacts"/>
      <sheetName val="Criticality Drivers"/>
      <sheetName val="Artifacts"/>
      <sheetName val="Criticality Criteria"/>
      <sheetName val="CDE Scoring"/>
      <sheetName val="Support Guide"/>
      <sheetName val="Support Sheet"/>
      <sheetName val="Help Sheet"/>
      <sheetName val="Report"/>
      <sheetName val="CDE Filtering"/>
      <sheetName val="Stakeholder Review"/>
      <sheetName val="LDS Review"/>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structions"/>
      <sheetName val="Guide"/>
      <sheetName val="Decision Tree"/>
      <sheetName val="Audit Log"/>
      <sheetName val="Dropdowns"/>
    </sheetNames>
    <sheetDataSet>
      <sheetData sheetId="0"/>
      <sheetData sheetId="1" refreshError="1"/>
      <sheetData sheetId="2" refreshError="1"/>
      <sheetData sheetId="3" refreshError="1"/>
      <sheetData sheetId="4"/>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cess Follow-up (Jun26 Update"/>
      <sheetName val="Definitions"/>
      <sheetName val="Cover Page"/>
      <sheetName val="Process Follow-up (Dec Update)"/>
      <sheetName val="Change Log"/>
      <sheetName val="Instructions"/>
      <sheetName val="Planning Summary"/>
      <sheetName val="Process Inventory"/>
      <sheetName val="Process Follow-up"/>
      <sheetName val="F24 Annual Refresh Plan"/>
      <sheetName val="RCM Mar Delivery Plan"/>
      <sheetName val="Supply Chain Prioritization"/>
      <sheetName val="Identified Processes"/>
      <sheetName val="Process Estimation"/>
      <sheetName val="DBOR  Inventory-To be changed"/>
      <sheetName val="T1 - US"/>
      <sheetName val="Weighting"/>
      <sheetName val="List table"/>
      <sheetName val="Process Prioritiz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t="str">
            <v>Yes</v>
          </cell>
          <cell r="C1" t="str">
            <v>No</v>
          </cell>
        </row>
        <row r="2">
          <cell r="A2" t="str">
            <v>1) Is there a regulatory/legal requirement driving the prioritization of this process (ask from regulator)?</v>
          </cell>
          <cell r="B2">
            <v>3</v>
          </cell>
          <cell r="C2">
            <v>0</v>
          </cell>
        </row>
        <row r="3">
          <cell r="A3" t="str">
            <v>2) Is there an audit or regulatory finding related to the data of this process</v>
          </cell>
          <cell r="B3">
            <v>3</v>
          </cell>
          <cell r="C3">
            <v>0</v>
          </cell>
        </row>
        <row r="4">
          <cell r="A4" t="str">
            <v>3) Is there another initiative that prioritizes this process ? (ie reg reporting initiative)</v>
          </cell>
          <cell r="B4">
            <v>0</v>
          </cell>
          <cell r="C4">
            <v>1</v>
          </cell>
        </row>
        <row r="5">
          <cell r="A5" t="str">
            <v>4) Is there regulatory program that impacts multiple LOBs (ie. Basel)</v>
          </cell>
          <cell r="B5">
            <v>3</v>
          </cell>
          <cell r="C5">
            <v>0</v>
          </cell>
        </row>
        <row r="6">
          <cell r="A6" t="str">
            <v>5) Are there on-going/in-inflight projects/programs that will impact this process (if yes the project should have the resources to ensure the data supply chain is complaint)</v>
          </cell>
          <cell r="B6">
            <v>0</v>
          </cell>
          <cell r="C6">
            <v>1</v>
          </cell>
        </row>
        <row r="7">
          <cell r="A7" t="str">
            <v>6) Have upstream data providers implemented the data management standards required to support this process</v>
          </cell>
          <cell r="B7">
            <v>0</v>
          </cell>
          <cell r="C7">
            <v>2</v>
          </cell>
        </row>
        <row r="8">
          <cell r="A8" t="str">
            <v>7) Is the owner of a upstream/downstream process, requesting prioritization of a data supply chain?</v>
          </cell>
          <cell r="B8">
            <v>2</v>
          </cell>
          <cell r="C8">
            <v>0</v>
          </cell>
        </row>
        <row r="9">
          <cell r="A9" t="str">
            <v>8) Are there known material data quality issues and/or pain points involved in the process?</v>
          </cell>
          <cell r="B9">
            <v>2</v>
          </cell>
          <cell r="C9">
            <v>0</v>
          </cell>
        </row>
        <row r="10">
          <cell r="A10" t="str">
            <v>9) Is this a required process that is enterprise-wide?</v>
          </cell>
          <cell r="B10">
            <v>1</v>
          </cell>
          <cell r="C10">
            <v>0</v>
          </cell>
        </row>
        <row r="11">
          <cell r="A11" t="str">
            <v>10) Does this process use any Model (if yes, list the model IDs separated by ";" in the next column)</v>
          </cell>
        </row>
      </sheetData>
      <sheetData sheetId="17">
        <row r="2">
          <cell r="C2" t="str">
            <v>High</v>
          </cell>
          <cell r="D2">
            <v>3</v>
          </cell>
        </row>
        <row r="3">
          <cell r="C3" t="str">
            <v>Medium</v>
          </cell>
          <cell r="D3">
            <v>2</v>
          </cell>
        </row>
        <row r="4">
          <cell r="C4" t="str">
            <v>Low</v>
          </cell>
          <cell r="D4">
            <v>1</v>
          </cell>
        </row>
        <row r="5">
          <cell r="C5" t="str">
            <v>Not Applicable</v>
          </cell>
          <cell r="D5">
            <v>0</v>
          </cell>
        </row>
      </sheetData>
      <sheetData sheetId="18"/>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23B43-894E-4280-8D93-C030E842C668}">
  <sheetPr>
    <tabColor rgb="FF92D050"/>
  </sheetPr>
  <dimension ref="A1:M146"/>
  <sheetViews>
    <sheetView tabSelected="1" topLeftCell="A34" zoomScale="70" zoomScaleNormal="70" workbookViewId="0">
      <selection activeCell="A38" sqref="A38:M146"/>
    </sheetView>
  </sheetViews>
  <sheetFormatPr defaultColWidth="8.85546875" defaultRowHeight="15" x14ac:dyDescent="0.25"/>
  <cols>
    <col min="1" max="1" width="9.42578125" style="69" customWidth="1"/>
    <col min="2" max="2" width="20" style="24" customWidth="1"/>
    <col min="3" max="3" width="53.140625" style="74" customWidth="1"/>
    <col min="4" max="4" width="20.85546875" style="70" customWidth="1"/>
    <col min="5" max="5" width="18.140625" style="70" bestFit="1" customWidth="1"/>
    <col min="6" max="6" width="15.5703125" style="70" bestFit="1" customWidth="1"/>
    <col min="7" max="7" width="28" style="24" bestFit="1" customWidth="1"/>
    <col min="8" max="9" width="13.28515625" style="24" customWidth="1"/>
    <col min="10" max="10" width="34.28515625" style="24" customWidth="1"/>
    <col min="11" max="11" width="30.7109375" style="24" customWidth="1"/>
    <col min="12" max="12" width="70.7109375" style="24" customWidth="1"/>
    <col min="13" max="13" width="45.7109375" style="24" customWidth="1"/>
    <col min="14" max="14" width="15" style="24" customWidth="1"/>
    <col min="15" max="16384" width="8.85546875" style="24"/>
  </cols>
  <sheetData>
    <row r="1" spans="1:13" s="64" customFormat="1" x14ac:dyDescent="0.25">
      <c r="A1" s="99" t="s">
        <v>514</v>
      </c>
      <c r="C1" s="105"/>
      <c r="D1" s="100"/>
      <c r="E1" s="100"/>
      <c r="F1" s="100"/>
    </row>
    <row r="2" spans="1:13" s="64" customFormat="1" x14ac:dyDescent="0.25">
      <c r="A2" s="99" t="s">
        <v>538</v>
      </c>
      <c r="C2" s="105"/>
      <c r="D2" s="100"/>
      <c r="E2" s="100"/>
      <c r="F2" s="100"/>
    </row>
    <row r="3" spans="1:13" s="64" customFormat="1" x14ac:dyDescent="0.25">
      <c r="A3" s="99" t="s">
        <v>539</v>
      </c>
      <c r="C3" s="105"/>
      <c r="D3" s="100"/>
      <c r="E3" s="100"/>
      <c r="F3" s="100"/>
    </row>
    <row r="4" spans="1:13" s="64" customFormat="1" x14ac:dyDescent="0.25">
      <c r="A4" s="99" t="s">
        <v>517</v>
      </c>
      <c r="B4" s="104"/>
      <c r="C4" s="105"/>
      <c r="D4" s="100"/>
      <c r="E4" s="100"/>
      <c r="F4" s="100"/>
    </row>
    <row r="5" spans="1:13" s="64" customFormat="1" x14ac:dyDescent="0.25">
      <c r="A5" s="99" t="s">
        <v>515</v>
      </c>
      <c r="C5" s="105"/>
      <c r="D5" s="100"/>
      <c r="E5" s="100"/>
      <c r="F5" s="100"/>
    </row>
    <row r="6" spans="1:13" s="64" customFormat="1" x14ac:dyDescent="0.25">
      <c r="A6" s="99" t="s">
        <v>540</v>
      </c>
      <c r="C6" s="105"/>
      <c r="D6" s="100"/>
      <c r="E6" s="100"/>
      <c r="F6" s="100"/>
    </row>
    <row r="7" spans="1:13" s="64" customFormat="1" x14ac:dyDescent="0.25">
      <c r="A7" s="99" t="s">
        <v>541</v>
      </c>
      <c r="C7" s="105"/>
      <c r="D7" s="100"/>
      <c r="E7" s="100"/>
      <c r="F7" s="100"/>
    </row>
    <row r="8" spans="1:13" s="64" customFormat="1" x14ac:dyDescent="0.25">
      <c r="A8" s="99"/>
      <c r="C8" s="105"/>
      <c r="D8" s="100"/>
      <c r="E8" s="100"/>
      <c r="F8" s="100"/>
    </row>
    <row r="9" spans="1:13" s="64" customFormat="1" x14ac:dyDescent="0.25">
      <c r="A9" s="99" t="s">
        <v>555</v>
      </c>
      <c r="B9" s="113" t="s">
        <v>556</v>
      </c>
      <c r="C9" s="105"/>
      <c r="D9" s="100"/>
      <c r="E9" s="100"/>
      <c r="F9" s="100"/>
    </row>
    <row r="10" spans="1:13" s="64" customFormat="1" x14ac:dyDescent="0.25">
      <c r="A10" s="99"/>
      <c r="B10" s="113" t="s">
        <v>557</v>
      </c>
      <c r="C10" s="105"/>
      <c r="D10" s="100"/>
      <c r="E10" s="100"/>
      <c r="F10" s="100"/>
    </row>
    <row r="11" spans="1:13" s="64" customFormat="1" x14ac:dyDescent="0.25">
      <c r="A11" s="99"/>
      <c r="C11" s="105"/>
      <c r="D11" s="100"/>
      <c r="E11" s="100"/>
      <c r="F11" s="100"/>
    </row>
    <row r="12" spans="1:13" s="64" customFormat="1" x14ac:dyDescent="0.25">
      <c r="A12" s="99"/>
      <c r="B12" s="114" t="s">
        <v>558</v>
      </c>
      <c r="C12" s="105"/>
      <c r="D12" s="100"/>
      <c r="E12" s="100"/>
      <c r="F12" s="100"/>
    </row>
    <row r="13" spans="1:13" s="64" customFormat="1" x14ac:dyDescent="0.25">
      <c r="A13" s="99"/>
      <c r="C13" s="105"/>
      <c r="D13" s="100"/>
      <c r="E13" s="100"/>
      <c r="F13" s="100"/>
    </row>
    <row r="14" spans="1:13" ht="36" x14ac:dyDescent="0.25">
      <c r="A14" s="110" t="s">
        <v>542</v>
      </c>
      <c r="H14" s="110" t="s">
        <v>542</v>
      </c>
      <c r="I14" s="110" t="s">
        <v>542</v>
      </c>
      <c r="K14" s="103"/>
    </row>
    <row r="15" spans="1:13" s="14" customFormat="1" ht="65.650000000000006" customHeight="1" x14ac:dyDescent="0.25">
      <c r="A15" s="95" t="s">
        <v>0</v>
      </c>
      <c r="B15" s="95" t="s">
        <v>1</v>
      </c>
      <c r="C15" s="106" t="s">
        <v>186</v>
      </c>
      <c r="D15" s="95" t="s">
        <v>187</v>
      </c>
      <c r="E15" s="95" t="s">
        <v>2</v>
      </c>
      <c r="F15" s="95" t="s">
        <v>3</v>
      </c>
      <c r="G15" s="95" t="s">
        <v>4</v>
      </c>
      <c r="H15" s="95" t="s">
        <v>188</v>
      </c>
      <c r="I15" s="95" t="s">
        <v>509</v>
      </c>
      <c r="J15" s="102" t="s">
        <v>190</v>
      </c>
      <c r="K15" s="102" t="s">
        <v>191</v>
      </c>
      <c r="L15" s="96" t="s">
        <v>516</v>
      </c>
      <c r="M15" s="96" t="s">
        <v>194</v>
      </c>
    </row>
    <row r="16" spans="1:13" ht="240" x14ac:dyDescent="0.25">
      <c r="A16" s="111" t="s">
        <v>52</v>
      </c>
      <c r="B16" s="111" t="s">
        <v>53</v>
      </c>
      <c r="C16" s="112" t="s">
        <v>246</v>
      </c>
      <c r="D16" s="97" t="s">
        <v>576</v>
      </c>
      <c r="E16" s="97" t="s">
        <v>576</v>
      </c>
      <c r="F16" s="97" t="s">
        <v>54</v>
      </c>
      <c r="G16" s="97" t="s">
        <v>55</v>
      </c>
      <c r="H16" s="97" t="s">
        <v>248</v>
      </c>
      <c r="I16" s="97" t="s">
        <v>552</v>
      </c>
      <c r="J16" s="97" t="s">
        <v>224</v>
      </c>
      <c r="K16" s="97" t="s">
        <v>591</v>
      </c>
      <c r="L16" s="97" t="s">
        <v>592</v>
      </c>
      <c r="M16" s="24" t="s">
        <v>593</v>
      </c>
    </row>
    <row r="17" spans="1:13" ht="75" x14ac:dyDescent="0.25">
      <c r="A17" s="97" t="s">
        <v>56</v>
      </c>
      <c r="B17" s="97" t="s">
        <v>57</v>
      </c>
      <c r="C17" s="107" t="s">
        <v>500</v>
      </c>
      <c r="D17" s="97" t="s">
        <v>576</v>
      </c>
      <c r="E17" s="97" t="s">
        <v>576</v>
      </c>
      <c r="F17" s="97" t="s">
        <v>54</v>
      </c>
      <c r="G17" s="97" t="s">
        <v>55</v>
      </c>
      <c r="H17" s="97" t="s">
        <v>501</v>
      </c>
      <c r="I17" s="97" t="s">
        <v>525</v>
      </c>
      <c r="J17" s="97" t="s">
        <v>224</v>
      </c>
      <c r="K17" s="97" t="s">
        <v>594</v>
      </c>
      <c r="L17" s="97" t="s">
        <v>595</v>
      </c>
      <c r="M17" s="24" t="s">
        <v>596</v>
      </c>
    </row>
    <row r="18" spans="1:13" ht="195" x14ac:dyDescent="0.25">
      <c r="A18" s="97" t="s">
        <v>59</v>
      </c>
      <c r="B18" s="97" t="s">
        <v>60</v>
      </c>
      <c r="C18" s="107" t="s">
        <v>522</v>
      </c>
      <c r="D18" s="97" t="s">
        <v>520</v>
      </c>
      <c r="E18" s="97" t="s">
        <v>519</v>
      </c>
      <c r="F18" s="97" t="s">
        <v>54</v>
      </c>
      <c r="G18" s="97" t="s">
        <v>55</v>
      </c>
      <c r="H18" s="97" t="s">
        <v>499</v>
      </c>
      <c r="I18" s="97" t="s">
        <v>533</v>
      </c>
      <c r="J18" s="97" t="s">
        <v>224</v>
      </c>
      <c r="K18" s="97" t="s">
        <v>597</v>
      </c>
      <c r="L18" s="97" t="s">
        <v>598</v>
      </c>
      <c r="M18" s="24" t="s">
        <v>599</v>
      </c>
    </row>
    <row r="19" spans="1:13" ht="150" x14ac:dyDescent="0.25">
      <c r="A19" s="97" t="s">
        <v>62</v>
      </c>
      <c r="B19" s="97" t="s">
        <v>63</v>
      </c>
      <c r="C19" s="107" t="s">
        <v>251</v>
      </c>
      <c r="D19" s="97" t="s">
        <v>523</v>
      </c>
      <c r="E19" s="97" t="s">
        <v>518</v>
      </c>
      <c r="F19" s="97" t="s">
        <v>54</v>
      </c>
      <c r="G19" s="97" t="s">
        <v>55</v>
      </c>
      <c r="I19" s="17" t="s">
        <v>512</v>
      </c>
      <c r="J19" s="97" t="s">
        <v>508</v>
      </c>
      <c r="K19" s="97" t="s">
        <v>510</v>
      </c>
      <c r="L19" s="97" t="s">
        <v>587</v>
      </c>
    </row>
    <row r="20" spans="1:13" ht="135" x14ac:dyDescent="0.25">
      <c r="A20" s="97" t="s">
        <v>65</v>
      </c>
      <c r="B20" s="97" t="s">
        <v>66</v>
      </c>
      <c r="C20" s="107" t="s">
        <v>253</v>
      </c>
      <c r="D20" s="97" t="s">
        <v>518</v>
      </c>
      <c r="E20" s="97" t="s">
        <v>518</v>
      </c>
      <c r="F20" s="97" t="s">
        <v>54</v>
      </c>
      <c r="G20" s="97" t="s">
        <v>55</v>
      </c>
      <c r="I20" s="17" t="s">
        <v>511</v>
      </c>
      <c r="J20" s="97" t="s">
        <v>385</v>
      </c>
      <c r="K20" s="23" t="s">
        <v>513</v>
      </c>
      <c r="L20" s="97" t="s">
        <v>588</v>
      </c>
      <c r="M20" s="24" t="s">
        <v>600</v>
      </c>
    </row>
    <row r="21" spans="1:13" ht="360" x14ac:dyDescent="0.25">
      <c r="A21" s="97" t="s">
        <v>67</v>
      </c>
      <c r="B21" s="97" t="s">
        <v>68</v>
      </c>
      <c r="C21" s="107" t="s">
        <v>254</v>
      </c>
      <c r="D21" s="97" t="s">
        <v>521</v>
      </c>
      <c r="E21" s="97" t="s">
        <v>518</v>
      </c>
      <c r="F21" s="97" t="s">
        <v>54</v>
      </c>
      <c r="G21" s="97" t="s">
        <v>55</v>
      </c>
      <c r="H21" s="97"/>
      <c r="I21" s="97"/>
      <c r="J21" s="97"/>
      <c r="K21" s="97" t="s">
        <v>601</v>
      </c>
      <c r="L21" s="97" t="s">
        <v>602</v>
      </c>
      <c r="M21" s="24" t="s">
        <v>603</v>
      </c>
    </row>
    <row r="22" spans="1:13" ht="69" customHeight="1" x14ac:dyDescent="0.25">
      <c r="A22" s="97" t="s">
        <v>69</v>
      </c>
      <c r="B22" s="97" t="s">
        <v>70</v>
      </c>
      <c r="C22" s="107" t="s">
        <v>255</v>
      </c>
      <c r="D22" s="97" t="s">
        <v>71</v>
      </c>
      <c r="E22" s="97" t="s">
        <v>71</v>
      </c>
      <c r="F22" s="97" t="s">
        <v>54</v>
      </c>
      <c r="G22" s="97" t="s">
        <v>55</v>
      </c>
      <c r="H22" s="97"/>
      <c r="I22" s="97" t="s">
        <v>547</v>
      </c>
      <c r="J22" s="97" t="s">
        <v>224</v>
      </c>
      <c r="K22" s="97" t="s">
        <v>604</v>
      </c>
      <c r="L22" s="97" t="s">
        <v>605</v>
      </c>
      <c r="M22" s="24" t="s">
        <v>606</v>
      </c>
    </row>
    <row r="23" spans="1:13" ht="87" customHeight="1" x14ac:dyDescent="0.25">
      <c r="A23" s="97" t="s">
        <v>72</v>
      </c>
      <c r="B23" s="97" t="s">
        <v>73</v>
      </c>
      <c r="C23" s="107" t="s">
        <v>256</v>
      </c>
      <c r="D23" s="97" t="s">
        <v>537</v>
      </c>
      <c r="E23" s="97" t="s">
        <v>607</v>
      </c>
      <c r="F23" s="97" t="s">
        <v>54</v>
      </c>
      <c r="G23" s="97" t="s">
        <v>55</v>
      </c>
      <c r="H23" s="97"/>
      <c r="I23" s="24" t="s">
        <v>544</v>
      </c>
      <c r="J23" s="97" t="s">
        <v>224</v>
      </c>
      <c r="K23" s="97" t="s">
        <v>608</v>
      </c>
      <c r="L23" s="97" t="s">
        <v>609</v>
      </c>
      <c r="M23" s="24" t="s">
        <v>610</v>
      </c>
    </row>
    <row r="24" spans="1:13" ht="120" x14ac:dyDescent="0.25">
      <c r="A24" s="97" t="s">
        <v>75</v>
      </c>
      <c r="B24" s="97" t="s">
        <v>76</v>
      </c>
      <c r="C24" s="107" t="s">
        <v>256</v>
      </c>
      <c r="D24" s="97" t="s">
        <v>77</v>
      </c>
      <c r="E24" s="97" t="s">
        <v>607</v>
      </c>
      <c r="F24" s="97" t="s">
        <v>54</v>
      </c>
      <c r="G24" s="97" t="s">
        <v>55</v>
      </c>
      <c r="H24" s="97"/>
      <c r="I24" s="97" t="s">
        <v>549</v>
      </c>
      <c r="J24" s="97" t="s">
        <v>224</v>
      </c>
      <c r="K24" s="97" t="s">
        <v>608</v>
      </c>
      <c r="L24" s="97" t="s">
        <v>609</v>
      </c>
      <c r="M24" s="24" t="s">
        <v>611</v>
      </c>
    </row>
    <row r="25" spans="1:13" ht="105" x14ac:dyDescent="0.25">
      <c r="A25" s="97" t="s">
        <v>78</v>
      </c>
      <c r="B25" s="97" t="s">
        <v>79</v>
      </c>
      <c r="C25" s="107" t="s">
        <v>256</v>
      </c>
      <c r="D25" s="97" t="s">
        <v>535</v>
      </c>
      <c r="E25" s="97" t="s">
        <v>553</v>
      </c>
      <c r="F25" s="97" t="s">
        <v>54</v>
      </c>
      <c r="G25" s="97" t="s">
        <v>55</v>
      </c>
      <c r="H25" s="97"/>
      <c r="I25" s="97" t="s">
        <v>546</v>
      </c>
      <c r="J25" s="97" t="s">
        <v>224</v>
      </c>
      <c r="K25" s="97" t="s">
        <v>612</v>
      </c>
      <c r="L25" s="97" t="s">
        <v>613</v>
      </c>
      <c r="M25" s="24" t="s">
        <v>614</v>
      </c>
    </row>
    <row r="26" spans="1:13" ht="86.65" customHeight="1" x14ac:dyDescent="0.25">
      <c r="A26" s="97" t="s">
        <v>80</v>
      </c>
      <c r="B26" s="97" t="s">
        <v>81</v>
      </c>
      <c r="C26" s="107" t="s">
        <v>524</v>
      </c>
      <c r="D26" s="97" t="s">
        <v>518</v>
      </c>
      <c r="E26" s="97" t="s">
        <v>518</v>
      </c>
      <c r="F26" s="97" t="s">
        <v>54</v>
      </c>
      <c r="G26" s="97" t="s">
        <v>55</v>
      </c>
      <c r="H26" s="97" t="s">
        <v>489</v>
      </c>
      <c r="I26" s="97" t="s">
        <v>530</v>
      </c>
      <c r="J26" s="97" t="s">
        <v>508</v>
      </c>
      <c r="K26" s="97" t="s">
        <v>510</v>
      </c>
      <c r="L26" s="97" t="s">
        <v>615</v>
      </c>
      <c r="M26" s="24" t="s">
        <v>616</v>
      </c>
    </row>
    <row r="27" spans="1:13" ht="120" x14ac:dyDescent="0.25">
      <c r="A27" s="97" t="s">
        <v>82</v>
      </c>
      <c r="B27" s="97" t="s">
        <v>83</v>
      </c>
      <c r="C27" s="107" t="s">
        <v>260</v>
      </c>
      <c r="D27" s="97" t="s">
        <v>71</v>
      </c>
      <c r="E27" s="97" t="s">
        <v>71</v>
      </c>
      <c r="F27" s="97" t="s">
        <v>54</v>
      </c>
      <c r="G27" s="97" t="s">
        <v>55</v>
      </c>
      <c r="H27" s="97"/>
      <c r="I27" s="97" t="s">
        <v>548</v>
      </c>
      <c r="J27" s="97" t="s">
        <v>508</v>
      </c>
      <c r="K27" s="97" t="s">
        <v>510</v>
      </c>
      <c r="L27" s="97" t="s">
        <v>617</v>
      </c>
      <c r="M27" s="24" t="s">
        <v>618</v>
      </c>
    </row>
    <row r="28" spans="1:13" ht="90" x14ac:dyDescent="0.25">
      <c r="A28" s="97" t="s">
        <v>84</v>
      </c>
      <c r="B28" s="97" t="s">
        <v>85</v>
      </c>
      <c r="C28" s="107" t="s">
        <v>261</v>
      </c>
      <c r="D28" s="97" t="s">
        <v>537</v>
      </c>
      <c r="E28" s="97" t="s">
        <v>607</v>
      </c>
      <c r="F28" s="97" t="s">
        <v>54</v>
      </c>
      <c r="G28" s="97" t="s">
        <v>55</v>
      </c>
      <c r="H28" s="97"/>
      <c r="J28" s="97" t="s">
        <v>554</v>
      </c>
      <c r="K28" s="97" t="s">
        <v>554</v>
      </c>
      <c r="L28" s="97" t="s">
        <v>619</v>
      </c>
      <c r="M28" s="24" t="s">
        <v>610</v>
      </c>
    </row>
    <row r="29" spans="1:13" ht="60" x14ac:dyDescent="0.25">
      <c r="A29" s="97" t="s">
        <v>86</v>
      </c>
      <c r="B29" s="97" t="s">
        <v>87</v>
      </c>
      <c r="C29" s="107" t="s">
        <v>262</v>
      </c>
      <c r="D29" s="97" t="s">
        <v>88</v>
      </c>
      <c r="E29" s="97" t="s">
        <v>607</v>
      </c>
      <c r="F29" s="97" t="s">
        <v>54</v>
      </c>
      <c r="G29" s="97" t="s">
        <v>55</v>
      </c>
      <c r="H29" s="97"/>
      <c r="I29" s="97" t="s">
        <v>529</v>
      </c>
      <c r="J29" s="97" t="s">
        <v>508</v>
      </c>
      <c r="K29" s="97" t="s">
        <v>510</v>
      </c>
      <c r="L29" s="97" t="s">
        <v>589</v>
      </c>
      <c r="M29" s="24" t="s">
        <v>620</v>
      </c>
    </row>
    <row r="30" spans="1:13" ht="240" x14ac:dyDescent="0.25">
      <c r="A30" s="97" t="s">
        <v>89</v>
      </c>
      <c r="B30" s="97" t="s">
        <v>90</v>
      </c>
      <c r="C30" s="107" t="s">
        <v>263</v>
      </c>
      <c r="D30" s="97" t="s">
        <v>536</v>
      </c>
      <c r="E30" s="97" t="s">
        <v>553</v>
      </c>
      <c r="F30" s="97" t="s">
        <v>54</v>
      </c>
      <c r="G30" s="97" t="s">
        <v>55</v>
      </c>
      <c r="H30" s="97"/>
      <c r="I30" s="97" t="s">
        <v>526</v>
      </c>
      <c r="J30" s="97" t="s">
        <v>508</v>
      </c>
      <c r="K30" s="97" t="s">
        <v>510</v>
      </c>
      <c r="L30" s="97" t="s">
        <v>621</v>
      </c>
      <c r="M30" s="24" t="s">
        <v>622</v>
      </c>
    </row>
    <row r="31" spans="1:13" ht="90" x14ac:dyDescent="0.25">
      <c r="A31" s="97" t="s">
        <v>391</v>
      </c>
      <c r="B31" s="97" t="s">
        <v>486</v>
      </c>
      <c r="C31" s="107" t="s">
        <v>487</v>
      </c>
      <c r="D31" s="97" t="s">
        <v>518</v>
      </c>
      <c r="E31" s="97" t="s">
        <v>518</v>
      </c>
      <c r="F31" s="97" t="s">
        <v>54</v>
      </c>
      <c r="G31" s="97" t="s">
        <v>55</v>
      </c>
      <c r="H31" s="97" t="s">
        <v>488</v>
      </c>
      <c r="I31" s="97" t="s">
        <v>543</v>
      </c>
      <c r="J31" s="97" t="s">
        <v>224</v>
      </c>
      <c r="K31" s="97" t="s">
        <v>224</v>
      </c>
      <c r="L31" s="97" t="s">
        <v>586</v>
      </c>
      <c r="M31" s="97"/>
    </row>
    <row r="32" spans="1:13" ht="165" x14ac:dyDescent="0.25">
      <c r="A32" s="97" t="s">
        <v>392</v>
      </c>
      <c r="B32" s="97" t="s">
        <v>490</v>
      </c>
      <c r="C32" s="107" t="s">
        <v>491</v>
      </c>
      <c r="D32" s="97" t="s">
        <v>534</v>
      </c>
      <c r="E32" s="97" t="s">
        <v>607</v>
      </c>
      <c r="F32" s="97" t="s">
        <v>54</v>
      </c>
      <c r="G32" s="97" t="s">
        <v>55</v>
      </c>
      <c r="H32" s="97" t="s">
        <v>492</v>
      </c>
      <c r="I32" s="97"/>
      <c r="J32" s="97"/>
      <c r="K32" s="97"/>
      <c r="L32" s="97"/>
      <c r="M32" s="97" t="s">
        <v>623</v>
      </c>
    </row>
    <row r="33" spans="1:13" ht="180" x14ac:dyDescent="0.25">
      <c r="A33" s="97" t="s">
        <v>393</v>
      </c>
      <c r="B33" s="97" t="s">
        <v>493</v>
      </c>
      <c r="C33" s="107" t="s">
        <v>494</v>
      </c>
      <c r="D33" s="97" t="s">
        <v>534</v>
      </c>
      <c r="E33" s="97" t="s">
        <v>607</v>
      </c>
      <c r="F33" s="97" t="s">
        <v>54</v>
      </c>
      <c r="G33" s="97" t="s">
        <v>55</v>
      </c>
      <c r="H33" s="97" t="s">
        <v>495</v>
      </c>
      <c r="I33" s="97"/>
      <c r="J33" s="97"/>
      <c r="K33" s="97" t="s">
        <v>624</v>
      </c>
      <c r="L33" s="97" t="s">
        <v>625</v>
      </c>
      <c r="M33" s="97" t="s">
        <v>626</v>
      </c>
    </row>
    <row r="34" spans="1:13" ht="60" x14ac:dyDescent="0.25">
      <c r="A34" s="97" t="s">
        <v>394</v>
      </c>
      <c r="B34" s="97" t="s">
        <v>496</v>
      </c>
      <c r="C34" s="107" t="s">
        <v>497</v>
      </c>
      <c r="D34" s="97" t="s">
        <v>519</v>
      </c>
      <c r="E34" s="97" t="s">
        <v>519</v>
      </c>
      <c r="F34" s="97" t="s">
        <v>54</v>
      </c>
      <c r="G34" s="97" t="s">
        <v>55</v>
      </c>
      <c r="H34" s="97" t="s">
        <v>498</v>
      </c>
      <c r="I34" s="97" t="s">
        <v>532</v>
      </c>
      <c r="J34" s="97" t="s">
        <v>550</v>
      </c>
      <c r="K34" s="97" t="s">
        <v>551</v>
      </c>
      <c r="L34" s="97" t="s">
        <v>590</v>
      </c>
      <c r="M34" s="97"/>
    </row>
    <row r="35" spans="1:13" ht="180" x14ac:dyDescent="0.25">
      <c r="A35" s="97" t="s">
        <v>395</v>
      </c>
      <c r="B35" s="97" t="s">
        <v>502</v>
      </c>
      <c r="C35" s="107" t="s">
        <v>503</v>
      </c>
      <c r="D35" s="97" t="s">
        <v>534</v>
      </c>
      <c r="E35" s="97" t="s">
        <v>607</v>
      </c>
      <c r="F35" s="97" t="s">
        <v>54</v>
      </c>
      <c r="G35" s="97" t="s">
        <v>55</v>
      </c>
      <c r="H35" s="97" t="s">
        <v>504</v>
      </c>
      <c r="I35" s="97"/>
      <c r="J35" s="97"/>
      <c r="K35" s="97" t="s">
        <v>627</v>
      </c>
      <c r="L35" s="115" t="s">
        <v>628</v>
      </c>
      <c r="M35" s="97" t="s">
        <v>629</v>
      </c>
    </row>
    <row r="36" spans="1:13" ht="90" x14ac:dyDescent="0.25">
      <c r="A36" s="97" t="s">
        <v>396</v>
      </c>
      <c r="B36" s="97" t="s">
        <v>505</v>
      </c>
      <c r="C36" s="107" t="s">
        <v>506</v>
      </c>
      <c r="D36" s="97" t="s">
        <v>534</v>
      </c>
      <c r="E36" s="97" t="s">
        <v>607</v>
      </c>
      <c r="F36" s="97" t="s">
        <v>54</v>
      </c>
      <c r="G36" s="97" t="s">
        <v>55</v>
      </c>
      <c r="H36" s="97" t="s">
        <v>507</v>
      </c>
      <c r="I36" s="97" t="s">
        <v>545</v>
      </c>
      <c r="J36" s="97" t="s">
        <v>508</v>
      </c>
      <c r="K36" s="97" t="s">
        <v>510</v>
      </c>
      <c r="L36" s="97" t="s">
        <v>630</v>
      </c>
      <c r="M36" s="97" t="s">
        <v>631</v>
      </c>
    </row>
    <row r="37" spans="1:13" s="109" customFormat="1" ht="40.5" customHeight="1" x14ac:dyDescent="0.25">
      <c r="A37" s="17" t="s">
        <v>397</v>
      </c>
      <c r="B37" s="17" t="s">
        <v>528</v>
      </c>
      <c r="C37" s="17" t="s">
        <v>528</v>
      </c>
      <c r="D37" s="17" t="s">
        <v>531</v>
      </c>
      <c r="E37" s="17" t="s">
        <v>518</v>
      </c>
      <c r="F37" s="17" t="s">
        <v>54</v>
      </c>
      <c r="G37" s="17" t="s">
        <v>55</v>
      </c>
      <c r="H37" s="17"/>
      <c r="I37" s="17" t="s">
        <v>527</v>
      </c>
      <c r="J37" s="17" t="s">
        <v>224</v>
      </c>
      <c r="K37" s="17" t="s">
        <v>224</v>
      </c>
      <c r="L37" s="108"/>
      <c r="M37" s="108" t="s">
        <v>632</v>
      </c>
    </row>
    <row r="38" spans="1:13" ht="210" x14ac:dyDescent="0.25">
      <c r="A38" s="17" t="s">
        <v>398</v>
      </c>
      <c r="B38" s="17" t="s">
        <v>560</v>
      </c>
      <c r="C38" s="133" t="s">
        <v>559</v>
      </c>
      <c r="D38" s="17" t="s">
        <v>71</v>
      </c>
      <c r="E38" s="17" t="s">
        <v>71</v>
      </c>
      <c r="F38" s="17" t="s">
        <v>54</v>
      </c>
      <c r="G38" s="17" t="s">
        <v>55</v>
      </c>
      <c r="H38" s="17"/>
      <c r="I38" s="17"/>
      <c r="J38" s="17"/>
      <c r="K38" s="17" t="s">
        <v>373</v>
      </c>
      <c r="L38" s="108" t="s">
        <v>585</v>
      </c>
      <c r="M38" s="108" t="s">
        <v>633</v>
      </c>
    </row>
    <row r="39" spans="1:13" ht="105" x14ac:dyDescent="0.25">
      <c r="A39" s="17" t="s">
        <v>675</v>
      </c>
      <c r="B39" s="17" t="s">
        <v>634</v>
      </c>
      <c r="C39" s="133" t="s">
        <v>584</v>
      </c>
      <c r="D39" s="17" t="s">
        <v>71</v>
      </c>
      <c r="E39" s="17" t="s">
        <v>71</v>
      </c>
      <c r="F39" s="17" t="s">
        <v>54</v>
      </c>
      <c r="G39" s="17" t="s">
        <v>55</v>
      </c>
      <c r="H39" s="17"/>
      <c r="I39" s="17"/>
      <c r="J39" s="17"/>
      <c r="K39" s="17" t="s">
        <v>635</v>
      </c>
      <c r="L39" s="108" t="s">
        <v>636</v>
      </c>
      <c r="M39" s="108" t="s">
        <v>637</v>
      </c>
    </row>
    <row r="40" spans="1:13" ht="60" x14ac:dyDescent="0.25">
      <c r="A40" s="17" t="s">
        <v>676</v>
      </c>
      <c r="B40" s="17" t="s">
        <v>638</v>
      </c>
      <c r="C40" s="133" t="s">
        <v>563</v>
      </c>
      <c r="D40" s="17" t="s">
        <v>71</v>
      </c>
      <c r="E40" s="17" t="s">
        <v>71</v>
      </c>
      <c r="F40" s="17" t="s">
        <v>54</v>
      </c>
      <c r="G40" s="17" t="s">
        <v>55</v>
      </c>
      <c r="H40" s="17"/>
      <c r="I40" s="17"/>
      <c r="J40" s="17"/>
      <c r="K40" s="17" t="s">
        <v>639</v>
      </c>
      <c r="L40" s="108" t="s">
        <v>640</v>
      </c>
      <c r="M40" s="108" t="s">
        <v>641</v>
      </c>
    </row>
    <row r="41" spans="1:13" ht="285" x14ac:dyDescent="0.25">
      <c r="A41" s="17" t="s">
        <v>677</v>
      </c>
      <c r="B41" s="17" t="s">
        <v>642</v>
      </c>
      <c r="C41" s="133" t="s">
        <v>561</v>
      </c>
      <c r="D41" s="17" t="s">
        <v>71</v>
      </c>
      <c r="E41" s="17" t="s">
        <v>71</v>
      </c>
      <c r="F41" s="17" t="s">
        <v>54</v>
      </c>
      <c r="G41" s="17" t="s">
        <v>55</v>
      </c>
      <c r="H41" s="17"/>
      <c r="I41" s="17"/>
      <c r="J41" s="17"/>
      <c r="K41" s="17" t="s">
        <v>643</v>
      </c>
      <c r="L41" s="108" t="s">
        <v>644</v>
      </c>
      <c r="M41" s="108" t="s">
        <v>645</v>
      </c>
    </row>
    <row r="42" spans="1:13" ht="300" customHeight="1" x14ac:dyDescent="0.25">
      <c r="A42" s="17" t="s">
        <v>678</v>
      </c>
      <c r="B42" s="17" t="s">
        <v>646</v>
      </c>
      <c r="C42" s="133" t="s">
        <v>562</v>
      </c>
      <c r="D42" s="17" t="s">
        <v>71</v>
      </c>
      <c r="E42" s="17" t="s">
        <v>71</v>
      </c>
      <c r="F42" s="17" t="s">
        <v>54</v>
      </c>
      <c r="G42" s="17" t="s">
        <v>55</v>
      </c>
      <c r="H42" s="17"/>
      <c r="I42" s="17"/>
      <c r="J42" s="17"/>
      <c r="K42" s="17" t="s">
        <v>647</v>
      </c>
      <c r="L42" s="108" t="s">
        <v>648</v>
      </c>
      <c r="M42" s="108" t="s">
        <v>649</v>
      </c>
    </row>
    <row r="43" spans="1:13" ht="255" x14ac:dyDescent="0.25">
      <c r="A43" s="17" t="s">
        <v>679</v>
      </c>
      <c r="B43" s="17" t="s">
        <v>566</v>
      </c>
      <c r="C43" s="133" t="s">
        <v>564</v>
      </c>
      <c r="D43" s="17" t="s">
        <v>565</v>
      </c>
      <c r="E43" s="17" t="s">
        <v>565</v>
      </c>
      <c r="F43" s="17" t="s">
        <v>54</v>
      </c>
      <c r="G43" s="17" t="s">
        <v>55</v>
      </c>
      <c r="H43" s="17"/>
      <c r="I43" s="17"/>
      <c r="J43" s="17"/>
      <c r="K43" s="17" t="s">
        <v>650</v>
      </c>
      <c r="L43" s="108" t="s">
        <v>651</v>
      </c>
      <c r="M43" s="108" t="s">
        <v>652</v>
      </c>
    </row>
    <row r="44" spans="1:13" ht="90" x14ac:dyDescent="0.25">
      <c r="A44" s="17" t="s">
        <v>680</v>
      </c>
      <c r="B44" s="17" t="s">
        <v>653</v>
      </c>
      <c r="C44" s="133" t="s">
        <v>567</v>
      </c>
      <c r="D44" s="17" t="s">
        <v>565</v>
      </c>
      <c r="E44" s="17" t="s">
        <v>565</v>
      </c>
      <c r="F44" s="17" t="s">
        <v>54</v>
      </c>
      <c r="G44" s="17" t="s">
        <v>55</v>
      </c>
      <c r="H44" s="17"/>
      <c r="I44" s="17"/>
      <c r="J44" s="17"/>
      <c r="K44" s="17" t="s">
        <v>654</v>
      </c>
      <c r="L44" s="108" t="s">
        <v>655</v>
      </c>
      <c r="M44" s="108" t="s">
        <v>656</v>
      </c>
    </row>
    <row r="45" spans="1:13" ht="150" x14ac:dyDescent="0.25">
      <c r="A45" s="17" t="s">
        <v>681</v>
      </c>
      <c r="B45" s="17" t="s">
        <v>10</v>
      </c>
      <c r="C45" s="133" t="s">
        <v>568</v>
      </c>
      <c r="D45" s="17" t="s">
        <v>565</v>
      </c>
      <c r="E45" s="17" t="s">
        <v>565</v>
      </c>
      <c r="F45" s="17" t="s">
        <v>54</v>
      </c>
      <c r="G45" s="17" t="s">
        <v>55</v>
      </c>
      <c r="H45" s="17"/>
      <c r="I45" s="17"/>
      <c r="J45" s="17"/>
      <c r="K45" s="17" t="s">
        <v>657</v>
      </c>
      <c r="L45" s="108" t="s">
        <v>583</v>
      </c>
      <c r="M45" s="108" t="s">
        <v>658</v>
      </c>
    </row>
    <row r="46" spans="1:13" ht="150" x14ac:dyDescent="0.25">
      <c r="A46" s="17" t="s">
        <v>682</v>
      </c>
      <c r="B46" s="17" t="s">
        <v>659</v>
      </c>
      <c r="C46" s="133" t="s">
        <v>577</v>
      </c>
      <c r="D46" s="17" t="s">
        <v>565</v>
      </c>
      <c r="E46" s="17" t="s">
        <v>565</v>
      </c>
      <c r="F46" s="17" t="s">
        <v>54</v>
      </c>
      <c r="G46" s="17" t="s">
        <v>55</v>
      </c>
      <c r="H46" s="17"/>
      <c r="I46" s="17"/>
      <c r="J46" s="17"/>
      <c r="K46" s="17" t="s">
        <v>660</v>
      </c>
      <c r="L46" s="108" t="s">
        <v>582</v>
      </c>
      <c r="M46" s="108" t="s">
        <v>658</v>
      </c>
    </row>
    <row r="47" spans="1:13" ht="300" x14ac:dyDescent="0.25">
      <c r="A47" s="17" t="s">
        <v>683</v>
      </c>
      <c r="B47" s="17" t="s">
        <v>661</v>
      </c>
      <c r="C47" s="133" t="s">
        <v>571</v>
      </c>
      <c r="D47" s="17" t="s">
        <v>572</v>
      </c>
      <c r="E47" s="17" t="s">
        <v>572</v>
      </c>
      <c r="F47" s="17" t="s">
        <v>54</v>
      </c>
      <c r="G47" s="17" t="s">
        <v>55</v>
      </c>
      <c r="H47" s="17"/>
      <c r="I47" s="17"/>
      <c r="J47" s="17"/>
      <c r="K47" s="17" t="s">
        <v>662</v>
      </c>
      <c r="L47" s="108" t="s">
        <v>663</v>
      </c>
      <c r="M47" s="108" t="s">
        <v>664</v>
      </c>
    </row>
    <row r="48" spans="1:13" ht="75" x14ac:dyDescent="0.25">
      <c r="A48" s="17" t="s">
        <v>684</v>
      </c>
      <c r="B48" s="17" t="s">
        <v>665</v>
      </c>
      <c r="C48" s="133" t="s">
        <v>573</v>
      </c>
      <c r="D48" s="17" t="s">
        <v>572</v>
      </c>
      <c r="E48" s="17" t="s">
        <v>572</v>
      </c>
      <c r="F48" s="17" t="s">
        <v>54</v>
      </c>
      <c r="G48" s="17" t="s">
        <v>55</v>
      </c>
      <c r="H48" s="17"/>
      <c r="I48" s="17"/>
      <c r="J48" s="17"/>
      <c r="K48" s="17" t="s">
        <v>666</v>
      </c>
      <c r="L48" s="108" t="s">
        <v>581</v>
      </c>
      <c r="M48" s="108" t="s">
        <v>667</v>
      </c>
    </row>
    <row r="49" spans="1:13" ht="60" x14ac:dyDescent="0.25">
      <c r="A49" s="17" t="s">
        <v>685</v>
      </c>
      <c r="B49" s="17" t="s">
        <v>668</v>
      </c>
      <c r="C49" s="133" t="s">
        <v>574</v>
      </c>
      <c r="D49" s="17" t="s">
        <v>572</v>
      </c>
      <c r="E49" s="17" t="s">
        <v>572</v>
      </c>
      <c r="F49" s="17" t="s">
        <v>54</v>
      </c>
      <c r="G49" s="17" t="s">
        <v>55</v>
      </c>
      <c r="H49" s="17"/>
      <c r="I49" s="17"/>
      <c r="J49" s="17"/>
      <c r="K49" s="17" t="s">
        <v>669</v>
      </c>
      <c r="L49" s="108" t="s">
        <v>580</v>
      </c>
      <c r="M49" s="108" t="s">
        <v>667</v>
      </c>
    </row>
    <row r="50" spans="1:13" ht="60" x14ac:dyDescent="0.25">
      <c r="A50" s="17" t="s">
        <v>686</v>
      </c>
      <c r="B50" s="17" t="s">
        <v>670</v>
      </c>
      <c r="C50" s="133" t="s">
        <v>575</v>
      </c>
      <c r="D50" s="17" t="s">
        <v>572</v>
      </c>
      <c r="E50" s="17" t="s">
        <v>572</v>
      </c>
      <c r="F50" s="17" t="s">
        <v>54</v>
      </c>
      <c r="G50" s="17" t="s">
        <v>55</v>
      </c>
      <c r="H50" s="17"/>
      <c r="I50" s="17"/>
      <c r="J50" s="17"/>
      <c r="K50" s="17" t="s">
        <v>671</v>
      </c>
      <c r="L50" s="108" t="s">
        <v>579</v>
      </c>
      <c r="M50" s="108" t="s">
        <v>667</v>
      </c>
    </row>
    <row r="51" spans="1:13" ht="90" x14ac:dyDescent="0.25">
      <c r="A51" s="17" t="s">
        <v>687</v>
      </c>
      <c r="B51" s="17" t="s">
        <v>672</v>
      </c>
      <c r="C51" s="133" t="s">
        <v>569</v>
      </c>
      <c r="D51" s="17" t="s">
        <v>570</v>
      </c>
      <c r="E51" s="17" t="s">
        <v>570</v>
      </c>
      <c r="F51" s="17" t="s">
        <v>54</v>
      </c>
      <c r="G51" s="17" t="s">
        <v>55</v>
      </c>
      <c r="H51" s="17"/>
      <c r="I51" s="17"/>
      <c r="J51" s="17"/>
      <c r="K51" s="17" t="s">
        <v>673</v>
      </c>
      <c r="L51" s="108" t="s">
        <v>578</v>
      </c>
      <c r="M51" s="108" t="s">
        <v>674</v>
      </c>
    </row>
    <row r="52" spans="1:13" ht="195" x14ac:dyDescent="0.25">
      <c r="A52" s="17" t="s">
        <v>688</v>
      </c>
      <c r="B52" s="17" t="s">
        <v>689</v>
      </c>
      <c r="C52" s="133" t="s">
        <v>690</v>
      </c>
      <c r="D52" s="17" t="s">
        <v>576</v>
      </c>
      <c r="E52" s="17" t="s">
        <v>576</v>
      </c>
      <c r="F52" s="17" t="s">
        <v>54</v>
      </c>
      <c r="G52" s="17" t="s">
        <v>55</v>
      </c>
      <c r="H52" s="17"/>
      <c r="I52" s="17"/>
      <c r="J52" s="17"/>
      <c r="K52" s="17" t="s">
        <v>591</v>
      </c>
      <c r="L52" s="108" t="s">
        <v>691</v>
      </c>
      <c r="M52" s="108" t="s">
        <v>692</v>
      </c>
    </row>
    <row r="53" spans="1:13" ht="150" x14ac:dyDescent="0.25">
      <c r="A53" s="17" t="s">
        <v>693</v>
      </c>
      <c r="B53" s="17" t="s">
        <v>694</v>
      </c>
      <c r="C53" s="133" t="s">
        <v>695</v>
      </c>
      <c r="D53" s="17" t="s">
        <v>576</v>
      </c>
      <c r="E53" s="17" t="s">
        <v>576</v>
      </c>
      <c r="F53" s="17" t="s">
        <v>54</v>
      </c>
      <c r="G53" s="17" t="s">
        <v>55</v>
      </c>
      <c r="H53" s="17"/>
      <c r="I53" s="17"/>
      <c r="J53" s="17"/>
      <c r="K53" s="17" t="s">
        <v>696</v>
      </c>
      <c r="L53" s="108" t="s">
        <v>697</v>
      </c>
      <c r="M53" s="108" t="s">
        <v>698</v>
      </c>
    </row>
    <row r="54" spans="1:13" ht="90" x14ac:dyDescent="0.25">
      <c r="A54" s="17" t="s">
        <v>699</v>
      </c>
      <c r="B54" s="17" t="s">
        <v>700</v>
      </c>
      <c r="C54" s="133" t="s">
        <v>701</v>
      </c>
      <c r="D54" s="17" t="s">
        <v>576</v>
      </c>
      <c r="E54" s="17" t="s">
        <v>576</v>
      </c>
      <c r="F54" s="17" t="s">
        <v>54</v>
      </c>
      <c r="G54" s="17" t="s">
        <v>55</v>
      </c>
      <c r="H54" s="17"/>
      <c r="I54" s="17"/>
      <c r="J54" s="17"/>
      <c r="K54" s="17" t="s">
        <v>702</v>
      </c>
      <c r="L54" s="108" t="s">
        <v>703</v>
      </c>
      <c r="M54" s="108" t="s">
        <v>692</v>
      </c>
    </row>
    <row r="55" spans="1:13" ht="165" x14ac:dyDescent="0.25">
      <c r="A55" s="17" t="s">
        <v>704</v>
      </c>
      <c r="B55" s="17" t="s">
        <v>705</v>
      </c>
      <c r="C55" s="133" t="s">
        <v>706</v>
      </c>
      <c r="D55" s="17" t="s">
        <v>576</v>
      </c>
      <c r="E55" s="17" t="s">
        <v>576</v>
      </c>
      <c r="F55" s="17" t="s">
        <v>54</v>
      </c>
      <c r="G55" s="17" t="s">
        <v>55</v>
      </c>
      <c r="H55" s="17"/>
      <c r="I55" s="17"/>
      <c r="J55" s="17"/>
      <c r="K55" s="17" t="s">
        <v>707</v>
      </c>
      <c r="L55" s="108" t="s">
        <v>708</v>
      </c>
      <c r="M55" s="108" t="s">
        <v>709</v>
      </c>
    </row>
    <row r="56" spans="1:13" ht="180" x14ac:dyDescent="0.25">
      <c r="A56" s="17" t="s">
        <v>710</v>
      </c>
      <c r="B56" s="17" t="s">
        <v>711</v>
      </c>
      <c r="C56" s="133" t="s">
        <v>712</v>
      </c>
      <c r="D56" s="17" t="s">
        <v>607</v>
      </c>
      <c r="E56" s="17" t="s">
        <v>607</v>
      </c>
      <c r="F56" s="17" t="s">
        <v>54</v>
      </c>
      <c r="G56" s="17" t="s">
        <v>55</v>
      </c>
      <c r="H56" s="17"/>
      <c r="I56" s="17"/>
      <c r="J56" s="17"/>
      <c r="K56" s="17" t="s">
        <v>591</v>
      </c>
      <c r="L56" s="108" t="s">
        <v>713</v>
      </c>
      <c r="M56" s="108" t="s">
        <v>714</v>
      </c>
    </row>
    <row r="57" spans="1:13" ht="180" x14ac:dyDescent="0.25">
      <c r="A57" s="17" t="s">
        <v>715</v>
      </c>
      <c r="B57" s="17" t="s">
        <v>716</v>
      </c>
      <c r="C57" s="133" t="s">
        <v>717</v>
      </c>
      <c r="D57" s="17" t="s">
        <v>607</v>
      </c>
      <c r="E57" s="17" t="s">
        <v>607</v>
      </c>
      <c r="F57" s="17" t="s">
        <v>54</v>
      </c>
      <c r="G57" s="17" t="s">
        <v>55</v>
      </c>
      <c r="H57" s="17"/>
      <c r="I57" s="17"/>
      <c r="J57" s="17"/>
      <c r="K57" s="17" t="s">
        <v>718</v>
      </c>
      <c r="L57" s="108" t="s">
        <v>719</v>
      </c>
      <c r="M57" s="108" t="s">
        <v>720</v>
      </c>
    </row>
    <row r="58" spans="1:13" ht="300" customHeight="1" x14ac:dyDescent="0.25">
      <c r="A58" s="17" t="s">
        <v>721</v>
      </c>
      <c r="B58" s="17" t="s">
        <v>722</v>
      </c>
      <c r="C58" s="133" t="s">
        <v>723</v>
      </c>
      <c r="D58" s="17" t="s">
        <v>607</v>
      </c>
      <c r="E58" s="17" t="s">
        <v>607</v>
      </c>
      <c r="F58" s="17" t="s">
        <v>54</v>
      </c>
      <c r="G58" s="17" t="s">
        <v>55</v>
      </c>
      <c r="H58" s="17"/>
      <c r="I58" s="17"/>
      <c r="J58" s="17"/>
      <c r="K58" s="17" t="s">
        <v>724</v>
      </c>
      <c r="L58" s="108" t="s">
        <v>725</v>
      </c>
      <c r="M58" s="108" t="s">
        <v>720</v>
      </c>
    </row>
    <row r="59" spans="1:13" ht="90" x14ac:dyDescent="0.25">
      <c r="A59" s="17" t="s">
        <v>726</v>
      </c>
      <c r="B59" s="17" t="s">
        <v>727</v>
      </c>
      <c r="C59" s="133" t="s">
        <v>728</v>
      </c>
      <c r="D59" s="17" t="s">
        <v>607</v>
      </c>
      <c r="E59" s="17" t="s">
        <v>607</v>
      </c>
      <c r="F59" s="17" t="s">
        <v>54</v>
      </c>
      <c r="G59" s="17" t="s">
        <v>55</v>
      </c>
      <c r="H59" s="17"/>
      <c r="I59" s="17"/>
      <c r="J59" s="17"/>
      <c r="K59" s="17" t="s">
        <v>729</v>
      </c>
      <c r="L59" s="108" t="s">
        <v>730</v>
      </c>
      <c r="M59" s="108" t="s">
        <v>692</v>
      </c>
    </row>
    <row r="60" spans="1:13" ht="105" x14ac:dyDescent="0.25">
      <c r="A60" s="17" t="s">
        <v>731</v>
      </c>
      <c r="B60" s="17" t="s">
        <v>732</v>
      </c>
      <c r="C60" s="133" t="s">
        <v>733</v>
      </c>
      <c r="D60" s="17" t="s">
        <v>607</v>
      </c>
      <c r="E60" s="17" t="s">
        <v>607</v>
      </c>
      <c r="F60" s="17" t="s">
        <v>54</v>
      </c>
      <c r="G60" s="17" t="s">
        <v>55</v>
      </c>
      <c r="H60" s="17"/>
      <c r="I60" s="17"/>
      <c r="J60" s="17"/>
      <c r="K60" s="17" t="s">
        <v>608</v>
      </c>
      <c r="L60" s="108" t="s">
        <v>734</v>
      </c>
      <c r="M60" s="108" t="s">
        <v>692</v>
      </c>
    </row>
    <row r="61" spans="1:13" ht="90" x14ac:dyDescent="0.25">
      <c r="A61" s="17" t="s">
        <v>735</v>
      </c>
      <c r="B61" s="17" t="s">
        <v>736</v>
      </c>
      <c r="C61" s="133" t="s">
        <v>737</v>
      </c>
      <c r="D61" s="17" t="s">
        <v>607</v>
      </c>
      <c r="E61" s="17" t="s">
        <v>607</v>
      </c>
      <c r="F61" s="17" t="s">
        <v>54</v>
      </c>
      <c r="G61" s="17" t="s">
        <v>55</v>
      </c>
      <c r="H61" s="17"/>
      <c r="I61" s="17"/>
      <c r="J61" s="17"/>
      <c r="K61" s="17" t="s">
        <v>608</v>
      </c>
      <c r="L61" s="108" t="s">
        <v>738</v>
      </c>
      <c r="M61" s="108" t="s">
        <v>692</v>
      </c>
    </row>
    <row r="62" spans="1:13" ht="90" x14ac:dyDescent="0.25">
      <c r="A62" s="17" t="s">
        <v>739</v>
      </c>
      <c r="B62" s="17" t="s">
        <v>740</v>
      </c>
      <c r="C62" s="133" t="s">
        <v>741</v>
      </c>
      <c r="D62" s="17" t="s">
        <v>607</v>
      </c>
      <c r="E62" s="17" t="s">
        <v>607</v>
      </c>
      <c r="F62" s="17" t="s">
        <v>54</v>
      </c>
      <c r="G62" s="17" t="s">
        <v>55</v>
      </c>
      <c r="H62" s="17"/>
      <c r="I62" s="17"/>
      <c r="J62" s="17"/>
      <c r="K62" s="17" t="s">
        <v>742</v>
      </c>
      <c r="L62" s="108" t="s">
        <v>743</v>
      </c>
      <c r="M62" s="108" t="s">
        <v>692</v>
      </c>
    </row>
    <row r="63" spans="1:13" ht="90" x14ac:dyDescent="0.25">
      <c r="A63" s="17" t="s">
        <v>744</v>
      </c>
      <c r="B63" s="17" t="s">
        <v>745</v>
      </c>
      <c r="C63" s="133" t="s">
        <v>746</v>
      </c>
      <c r="D63" s="17" t="s">
        <v>607</v>
      </c>
      <c r="E63" s="17" t="s">
        <v>607</v>
      </c>
      <c r="F63" s="17" t="s">
        <v>54</v>
      </c>
      <c r="G63" s="17" t="s">
        <v>55</v>
      </c>
      <c r="H63" s="17"/>
      <c r="I63" s="17"/>
      <c r="J63" s="17"/>
      <c r="K63" s="17" t="s">
        <v>608</v>
      </c>
      <c r="L63" s="108" t="s">
        <v>747</v>
      </c>
      <c r="M63" s="108" t="s">
        <v>692</v>
      </c>
    </row>
    <row r="64" spans="1:13" ht="90" x14ac:dyDescent="0.25">
      <c r="A64" s="17" t="s">
        <v>748</v>
      </c>
      <c r="B64" s="17" t="s">
        <v>749</v>
      </c>
      <c r="C64" s="133" t="s">
        <v>750</v>
      </c>
      <c r="D64" s="17" t="s">
        <v>607</v>
      </c>
      <c r="E64" s="17" t="s">
        <v>607</v>
      </c>
      <c r="F64" s="17" t="s">
        <v>54</v>
      </c>
      <c r="G64" s="17" t="s">
        <v>55</v>
      </c>
      <c r="H64" s="17"/>
      <c r="I64" s="17"/>
      <c r="J64" s="17"/>
      <c r="K64" s="17" t="s">
        <v>751</v>
      </c>
      <c r="L64" s="108" t="s">
        <v>752</v>
      </c>
      <c r="M64" s="108" t="s">
        <v>692</v>
      </c>
    </row>
    <row r="65" spans="1:13" ht="120" x14ac:dyDescent="0.25">
      <c r="A65" s="17" t="s">
        <v>753</v>
      </c>
      <c r="B65" s="17" t="s">
        <v>754</v>
      </c>
      <c r="C65" s="133" t="s">
        <v>755</v>
      </c>
      <c r="D65" s="17" t="s">
        <v>607</v>
      </c>
      <c r="E65" s="17" t="s">
        <v>607</v>
      </c>
      <c r="F65" s="17" t="s">
        <v>54</v>
      </c>
      <c r="G65" s="17" t="s">
        <v>55</v>
      </c>
      <c r="H65" s="17"/>
      <c r="I65" s="17"/>
      <c r="J65" s="17"/>
      <c r="K65" s="17" t="s">
        <v>756</v>
      </c>
      <c r="L65" s="108" t="s">
        <v>757</v>
      </c>
      <c r="M65" s="108" t="s">
        <v>692</v>
      </c>
    </row>
    <row r="66" spans="1:13" ht="180" x14ac:dyDescent="0.25">
      <c r="A66" s="17" t="s">
        <v>758</v>
      </c>
      <c r="B66" s="17" t="s">
        <v>759</v>
      </c>
      <c r="C66" s="133" t="s">
        <v>760</v>
      </c>
      <c r="D66" s="17" t="s">
        <v>607</v>
      </c>
      <c r="E66" s="17" t="s">
        <v>607</v>
      </c>
      <c r="F66" s="17" t="s">
        <v>54</v>
      </c>
      <c r="G66" s="17" t="s">
        <v>55</v>
      </c>
      <c r="H66" s="17"/>
      <c r="I66" s="17"/>
      <c r="J66" s="17"/>
      <c r="K66" s="17" t="s">
        <v>761</v>
      </c>
      <c r="L66" s="108" t="s">
        <v>762</v>
      </c>
      <c r="M66" s="108" t="s">
        <v>763</v>
      </c>
    </row>
    <row r="67" spans="1:13" ht="90" x14ac:dyDescent="0.25">
      <c r="A67" s="17" t="s">
        <v>764</v>
      </c>
      <c r="B67" s="17" t="s">
        <v>765</v>
      </c>
      <c r="C67" s="133" t="s">
        <v>766</v>
      </c>
      <c r="D67" s="17" t="s">
        <v>607</v>
      </c>
      <c r="E67" s="17" t="s">
        <v>607</v>
      </c>
      <c r="F67" s="17" t="s">
        <v>54</v>
      </c>
      <c r="G67" s="17" t="s">
        <v>55</v>
      </c>
      <c r="H67" s="17"/>
      <c r="I67" s="17"/>
      <c r="J67" s="17"/>
      <c r="K67" s="17" t="s">
        <v>767</v>
      </c>
      <c r="L67" s="108" t="s">
        <v>768</v>
      </c>
      <c r="M67" s="108" t="s">
        <v>692</v>
      </c>
    </row>
    <row r="68" spans="1:13" ht="90" x14ac:dyDescent="0.25">
      <c r="A68" s="17" t="s">
        <v>769</v>
      </c>
      <c r="B68" s="17" t="s">
        <v>770</v>
      </c>
      <c r="C68" s="133" t="s">
        <v>771</v>
      </c>
      <c r="D68" s="17" t="s">
        <v>607</v>
      </c>
      <c r="E68" s="17" t="s">
        <v>607</v>
      </c>
      <c r="F68" s="17" t="s">
        <v>54</v>
      </c>
      <c r="G68" s="17" t="s">
        <v>55</v>
      </c>
      <c r="H68" s="17"/>
      <c r="I68" s="17"/>
      <c r="J68" s="17"/>
      <c r="K68" s="17" t="s">
        <v>772</v>
      </c>
      <c r="L68" s="108" t="s">
        <v>773</v>
      </c>
      <c r="M68" s="108" t="s">
        <v>692</v>
      </c>
    </row>
    <row r="69" spans="1:13" ht="150" x14ac:dyDescent="0.25">
      <c r="A69" s="17" t="s">
        <v>774</v>
      </c>
      <c r="B69" s="17" t="s">
        <v>775</v>
      </c>
      <c r="C69" s="133" t="s">
        <v>776</v>
      </c>
      <c r="D69" s="17" t="s">
        <v>607</v>
      </c>
      <c r="E69" s="17" t="s">
        <v>607</v>
      </c>
      <c r="F69" s="17" t="s">
        <v>54</v>
      </c>
      <c r="G69" s="17" t="s">
        <v>55</v>
      </c>
      <c r="H69" s="17"/>
      <c r="I69" s="17"/>
      <c r="J69" s="17"/>
      <c r="K69" s="17" t="s">
        <v>373</v>
      </c>
      <c r="L69" s="108" t="s">
        <v>777</v>
      </c>
      <c r="M69" s="108" t="s">
        <v>720</v>
      </c>
    </row>
    <row r="70" spans="1:13" ht="150" x14ac:dyDescent="0.25">
      <c r="A70" s="17" t="s">
        <v>778</v>
      </c>
      <c r="B70" s="17" t="s">
        <v>779</v>
      </c>
      <c r="C70" s="133" t="s">
        <v>780</v>
      </c>
      <c r="D70" s="17" t="s">
        <v>607</v>
      </c>
      <c r="E70" s="17" t="s">
        <v>607</v>
      </c>
      <c r="F70" s="17" t="s">
        <v>54</v>
      </c>
      <c r="G70" s="17" t="s">
        <v>55</v>
      </c>
      <c r="H70" s="17"/>
      <c r="I70" s="17"/>
      <c r="J70" s="17"/>
      <c r="K70" s="17" t="s">
        <v>373</v>
      </c>
      <c r="L70" s="108" t="s">
        <v>781</v>
      </c>
      <c r="M70" s="108" t="s">
        <v>720</v>
      </c>
    </row>
    <row r="71" spans="1:13" ht="90" x14ac:dyDescent="0.25">
      <c r="A71" s="17" t="s">
        <v>782</v>
      </c>
      <c r="B71" s="17" t="s">
        <v>783</v>
      </c>
      <c r="C71" s="133" t="s">
        <v>784</v>
      </c>
      <c r="D71" s="17" t="s">
        <v>607</v>
      </c>
      <c r="E71" s="17" t="s">
        <v>607</v>
      </c>
      <c r="F71" s="17" t="s">
        <v>54</v>
      </c>
      <c r="G71" s="17" t="s">
        <v>55</v>
      </c>
      <c r="H71" s="17"/>
      <c r="I71" s="17"/>
      <c r="J71" s="17"/>
      <c r="K71" s="17" t="s">
        <v>785</v>
      </c>
      <c r="L71" s="108" t="s">
        <v>786</v>
      </c>
      <c r="M71" s="108" t="s">
        <v>692</v>
      </c>
    </row>
    <row r="72" spans="1:13" ht="90" x14ac:dyDescent="0.25">
      <c r="A72" s="17" t="s">
        <v>787</v>
      </c>
      <c r="B72" s="17" t="s">
        <v>788</v>
      </c>
      <c r="C72" s="133" t="s">
        <v>789</v>
      </c>
      <c r="D72" s="17" t="s">
        <v>607</v>
      </c>
      <c r="E72" s="17" t="s">
        <v>607</v>
      </c>
      <c r="F72" s="17" t="s">
        <v>54</v>
      </c>
      <c r="G72" s="17" t="s">
        <v>55</v>
      </c>
      <c r="H72" s="17"/>
      <c r="I72" s="17"/>
      <c r="J72" s="17"/>
      <c r="K72" s="17" t="s">
        <v>790</v>
      </c>
      <c r="L72" s="108" t="s">
        <v>791</v>
      </c>
      <c r="M72" s="108" t="s">
        <v>692</v>
      </c>
    </row>
    <row r="73" spans="1:13" ht="90" x14ac:dyDescent="0.25">
      <c r="A73" s="17" t="s">
        <v>792</v>
      </c>
      <c r="B73" s="17" t="s">
        <v>793</v>
      </c>
      <c r="C73" s="133" t="s">
        <v>794</v>
      </c>
      <c r="D73" s="17" t="s">
        <v>607</v>
      </c>
      <c r="E73" s="17" t="s">
        <v>607</v>
      </c>
      <c r="F73" s="17" t="s">
        <v>54</v>
      </c>
      <c r="G73" s="17" t="s">
        <v>55</v>
      </c>
      <c r="H73" s="17"/>
      <c r="I73" s="17"/>
      <c r="J73" s="17"/>
      <c r="K73" s="17" t="s">
        <v>790</v>
      </c>
      <c r="L73" s="108" t="s">
        <v>795</v>
      </c>
      <c r="M73" s="108" t="s">
        <v>692</v>
      </c>
    </row>
    <row r="74" spans="1:13" ht="300" customHeight="1" x14ac:dyDescent="0.25">
      <c r="A74" s="17" t="s">
        <v>796</v>
      </c>
      <c r="B74" s="17" t="s">
        <v>797</v>
      </c>
      <c r="C74" s="133" t="s">
        <v>798</v>
      </c>
      <c r="D74" s="17" t="s">
        <v>518</v>
      </c>
      <c r="E74" s="17" t="s">
        <v>518</v>
      </c>
      <c r="F74" s="17" t="s">
        <v>54</v>
      </c>
      <c r="G74" s="17" t="s">
        <v>55</v>
      </c>
      <c r="H74" s="17"/>
      <c r="I74" s="17"/>
      <c r="J74" s="17"/>
      <c r="K74" s="17" t="s">
        <v>799</v>
      </c>
      <c r="L74" s="108" t="s">
        <v>800</v>
      </c>
      <c r="M74" s="108" t="s">
        <v>692</v>
      </c>
    </row>
    <row r="75" spans="1:13" ht="150" x14ac:dyDescent="0.25">
      <c r="A75" s="17" t="s">
        <v>801</v>
      </c>
      <c r="B75" s="17" t="s">
        <v>802</v>
      </c>
      <c r="C75" s="133" t="s">
        <v>803</v>
      </c>
      <c r="D75" s="17" t="s">
        <v>518</v>
      </c>
      <c r="E75" s="17" t="s">
        <v>518</v>
      </c>
      <c r="F75" s="17" t="s">
        <v>54</v>
      </c>
      <c r="G75" s="17" t="s">
        <v>55</v>
      </c>
      <c r="H75" s="17"/>
      <c r="I75" s="17"/>
      <c r="J75" s="17"/>
      <c r="K75" s="17" t="s">
        <v>804</v>
      </c>
      <c r="L75" s="108" t="s">
        <v>805</v>
      </c>
      <c r="M75" s="108" t="s">
        <v>692</v>
      </c>
    </row>
    <row r="76" spans="1:13" ht="90" x14ac:dyDescent="0.25">
      <c r="A76" s="17" t="s">
        <v>806</v>
      </c>
      <c r="B76" s="17" t="s">
        <v>807</v>
      </c>
      <c r="C76" s="133" t="s">
        <v>808</v>
      </c>
      <c r="D76" s="17" t="s">
        <v>518</v>
      </c>
      <c r="E76" s="17" t="s">
        <v>518</v>
      </c>
      <c r="F76" s="17" t="s">
        <v>54</v>
      </c>
      <c r="G76" s="17" t="s">
        <v>55</v>
      </c>
      <c r="H76" s="17"/>
      <c r="I76" s="17"/>
      <c r="J76" s="17"/>
      <c r="K76" s="17" t="s">
        <v>809</v>
      </c>
      <c r="L76" s="108" t="s">
        <v>810</v>
      </c>
      <c r="M76" s="108" t="s">
        <v>692</v>
      </c>
    </row>
    <row r="77" spans="1:13" ht="180" x14ac:dyDescent="0.25">
      <c r="A77" s="17" t="s">
        <v>811</v>
      </c>
      <c r="B77" s="17" t="s">
        <v>812</v>
      </c>
      <c r="C77" s="133" t="s">
        <v>813</v>
      </c>
      <c r="D77" s="17" t="s">
        <v>518</v>
      </c>
      <c r="E77" s="17" t="s">
        <v>518</v>
      </c>
      <c r="F77" s="17" t="s">
        <v>54</v>
      </c>
      <c r="G77" s="17" t="s">
        <v>55</v>
      </c>
      <c r="H77" s="17"/>
      <c r="I77" s="17"/>
      <c r="J77" s="17"/>
      <c r="K77" s="17" t="s">
        <v>814</v>
      </c>
      <c r="L77" s="108" t="s">
        <v>815</v>
      </c>
      <c r="M77" s="108" t="s">
        <v>720</v>
      </c>
    </row>
    <row r="78" spans="1:13" ht="300" customHeight="1" x14ac:dyDescent="0.25">
      <c r="A78" s="17" t="s">
        <v>816</v>
      </c>
      <c r="B78" s="17" t="s">
        <v>817</v>
      </c>
      <c r="C78" s="133" t="s">
        <v>818</v>
      </c>
      <c r="D78" s="17" t="s">
        <v>518</v>
      </c>
      <c r="E78" s="17" t="s">
        <v>518</v>
      </c>
      <c r="F78" s="17" t="s">
        <v>54</v>
      </c>
      <c r="G78" s="17" t="s">
        <v>55</v>
      </c>
      <c r="H78" s="17"/>
      <c r="I78" s="17"/>
      <c r="J78" s="17"/>
      <c r="K78" s="17" t="s">
        <v>819</v>
      </c>
      <c r="L78" s="108" t="s">
        <v>820</v>
      </c>
      <c r="M78" s="108" t="s">
        <v>692</v>
      </c>
    </row>
    <row r="79" spans="1:13" ht="270" x14ac:dyDescent="0.25">
      <c r="A79" s="17" t="s">
        <v>821</v>
      </c>
      <c r="B79" s="17" t="s">
        <v>822</v>
      </c>
      <c r="C79" s="133" t="s">
        <v>823</v>
      </c>
      <c r="D79" s="17" t="s">
        <v>518</v>
      </c>
      <c r="E79" s="17" t="s">
        <v>518</v>
      </c>
      <c r="F79" s="17" t="s">
        <v>54</v>
      </c>
      <c r="G79" s="17" t="s">
        <v>55</v>
      </c>
      <c r="H79" s="17"/>
      <c r="I79" s="17"/>
      <c r="J79" s="17"/>
      <c r="K79" s="17" t="s">
        <v>824</v>
      </c>
      <c r="L79" s="108" t="s">
        <v>825</v>
      </c>
      <c r="M79" s="108" t="s">
        <v>720</v>
      </c>
    </row>
    <row r="80" spans="1:13" ht="150" x14ac:dyDescent="0.25">
      <c r="A80" s="17" t="s">
        <v>826</v>
      </c>
      <c r="B80" s="17" t="s">
        <v>827</v>
      </c>
      <c r="C80" s="133" t="s">
        <v>828</v>
      </c>
      <c r="D80" s="17" t="s">
        <v>518</v>
      </c>
      <c r="E80" s="17" t="s">
        <v>518</v>
      </c>
      <c r="F80" s="17" t="s">
        <v>54</v>
      </c>
      <c r="G80" s="17" t="s">
        <v>55</v>
      </c>
      <c r="H80" s="17"/>
      <c r="I80" s="17"/>
      <c r="J80" s="17"/>
      <c r="K80" s="17" t="s">
        <v>829</v>
      </c>
      <c r="L80" s="108" t="s">
        <v>830</v>
      </c>
      <c r="M80" s="108" t="s">
        <v>720</v>
      </c>
    </row>
    <row r="81" spans="1:13" ht="165" x14ac:dyDescent="0.25">
      <c r="A81" s="17" t="s">
        <v>831</v>
      </c>
      <c r="B81" s="17" t="s">
        <v>832</v>
      </c>
      <c r="C81" s="133" t="s">
        <v>833</v>
      </c>
      <c r="D81" s="17" t="s">
        <v>518</v>
      </c>
      <c r="E81" s="17" t="s">
        <v>518</v>
      </c>
      <c r="F81" s="17" t="s">
        <v>54</v>
      </c>
      <c r="G81" s="17" t="s">
        <v>55</v>
      </c>
      <c r="H81" s="17"/>
      <c r="I81" s="17"/>
      <c r="J81" s="17"/>
      <c r="K81" s="17" t="s">
        <v>829</v>
      </c>
      <c r="L81" s="108" t="s">
        <v>834</v>
      </c>
      <c r="M81" s="108" t="s">
        <v>720</v>
      </c>
    </row>
    <row r="82" spans="1:13" ht="90" x14ac:dyDescent="0.25">
      <c r="A82" s="17" t="s">
        <v>835</v>
      </c>
      <c r="B82" s="17" t="s">
        <v>836</v>
      </c>
      <c r="C82" s="133" t="s">
        <v>837</v>
      </c>
      <c r="D82" s="17" t="s">
        <v>518</v>
      </c>
      <c r="E82" s="17" t="s">
        <v>518</v>
      </c>
      <c r="F82" s="17" t="s">
        <v>54</v>
      </c>
      <c r="G82" s="17" t="s">
        <v>55</v>
      </c>
      <c r="H82" s="17"/>
      <c r="I82" s="17"/>
      <c r="J82" s="17"/>
      <c r="K82" s="17" t="s">
        <v>838</v>
      </c>
      <c r="L82" s="108" t="s">
        <v>839</v>
      </c>
      <c r="M82" s="108" t="s">
        <v>692</v>
      </c>
    </row>
    <row r="83" spans="1:13" ht="90" x14ac:dyDescent="0.25">
      <c r="A83" s="17" t="s">
        <v>840</v>
      </c>
      <c r="B83" s="17" t="s">
        <v>841</v>
      </c>
      <c r="C83" s="133" t="s">
        <v>842</v>
      </c>
      <c r="D83" s="17" t="s">
        <v>518</v>
      </c>
      <c r="E83" s="17" t="s">
        <v>518</v>
      </c>
      <c r="F83" s="17" t="s">
        <v>54</v>
      </c>
      <c r="G83" s="17" t="s">
        <v>55</v>
      </c>
      <c r="H83" s="17"/>
      <c r="I83" s="17"/>
      <c r="J83" s="17"/>
      <c r="K83" s="17" t="s">
        <v>843</v>
      </c>
      <c r="L83" s="108" t="s">
        <v>844</v>
      </c>
      <c r="M83" s="108" t="s">
        <v>692</v>
      </c>
    </row>
    <row r="84" spans="1:13" ht="300" customHeight="1" x14ac:dyDescent="0.25">
      <c r="A84" s="17" t="s">
        <v>845</v>
      </c>
      <c r="B84" s="17" t="s">
        <v>846</v>
      </c>
      <c r="C84" s="133" t="s">
        <v>847</v>
      </c>
      <c r="D84" s="17" t="s">
        <v>553</v>
      </c>
      <c r="E84" s="17" t="s">
        <v>553</v>
      </c>
      <c r="F84" s="17" t="s">
        <v>54</v>
      </c>
      <c r="G84" s="17" t="s">
        <v>55</v>
      </c>
      <c r="H84" s="17"/>
      <c r="I84" s="17"/>
      <c r="J84" s="17"/>
      <c r="K84" s="17" t="s">
        <v>848</v>
      </c>
      <c r="L84" s="108" t="s">
        <v>849</v>
      </c>
      <c r="M84" s="108" t="s">
        <v>720</v>
      </c>
    </row>
    <row r="85" spans="1:13" ht="300" customHeight="1" x14ac:dyDescent="0.25">
      <c r="A85" s="17" t="s">
        <v>850</v>
      </c>
      <c r="B85" s="17" t="s">
        <v>851</v>
      </c>
      <c r="C85" s="133" t="s">
        <v>852</v>
      </c>
      <c r="D85" s="17" t="s">
        <v>553</v>
      </c>
      <c r="E85" s="17" t="s">
        <v>553</v>
      </c>
      <c r="F85" s="17" t="s">
        <v>54</v>
      </c>
      <c r="G85" s="17" t="s">
        <v>55</v>
      </c>
      <c r="H85" s="17"/>
      <c r="I85" s="17"/>
      <c r="J85" s="17"/>
      <c r="K85" s="17" t="s">
        <v>853</v>
      </c>
      <c r="L85" s="108" t="s">
        <v>854</v>
      </c>
      <c r="M85" s="108" t="s">
        <v>692</v>
      </c>
    </row>
    <row r="86" spans="1:13" ht="180" x14ac:dyDescent="0.25">
      <c r="A86" s="17" t="s">
        <v>855</v>
      </c>
      <c r="B86" s="17" t="s">
        <v>856</v>
      </c>
      <c r="C86" s="133" t="s">
        <v>857</v>
      </c>
      <c r="D86" s="17" t="s">
        <v>553</v>
      </c>
      <c r="E86" s="17" t="s">
        <v>553</v>
      </c>
      <c r="F86" s="17" t="s">
        <v>54</v>
      </c>
      <c r="G86" s="17" t="s">
        <v>55</v>
      </c>
      <c r="H86" s="17"/>
      <c r="I86" s="17"/>
      <c r="J86" s="17"/>
      <c r="K86" s="17" t="s">
        <v>858</v>
      </c>
      <c r="L86" s="108" t="s">
        <v>859</v>
      </c>
      <c r="M86" s="108" t="s">
        <v>860</v>
      </c>
    </row>
    <row r="87" spans="1:13" ht="225" x14ac:dyDescent="0.25">
      <c r="A87" s="17" t="s">
        <v>861</v>
      </c>
      <c r="B87" s="17" t="s">
        <v>862</v>
      </c>
      <c r="C87" s="133" t="s">
        <v>863</v>
      </c>
      <c r="D87" s="17" t="s">
        <v>553</v>
      </c>
      <c r="E87" s="17" t="s">
        <v>553</v>
      </c>
      <c r="F87" s="17" t="s">
        <v>54</v>
      </c>
      <c r="G87" s="17" t="s">
        <v>55</v>
      </c>
      <c r="H87" s="17"/>
      <c r="I87" s="17"/>
      <c r="J87" s="17"/>
      <c r="K87" s="17" t="s">
        <v>838</v>
      </c>
      <c r="L87" s="108" t="s">
        <v>864</v>
      </c>
      <c r="M87" s="108" t="s">
        <v>865</v>
      </c>
    </row>
    <row r="88" spans="1:13" ht="255" x14ac:dyDescent="0.25">
      <c r="A88" s="17" t="s">
        <v>866</v>
      </c>
      <c r="B88" s="17" t="s">
        <v>867</v>
      </c>
      <c r="C88" s="133" t="s">
        <v>868</v>
      </c>
      <c r="D88" s="17" t="s">
        <v>553</v>
      </c>
      <c r="E88" s="17" t="s">
        <v>553</v>
      </c>
      <c r="F88" s="17" t="s">
        <v>54</v>
      </c>
      <c r="G88" s="17" t="s">
        <v>55</v>
      </c>
      <c r="H88" s="17"/>
      <c r="I88" s="17"/>
      <c r="J88" s="17"/>
      <c r="K88" s="17" t="s">
        <v>869</v>
      </c>
      <c r="L88" s="108" t="s">
        <v>870</v>
      </c>
      <c r="M88" s="108" t="s">
        <v>871</v>
      </c>
    </row>
    <row r="89" spans="1:13" ht="270" x14ac:dyDescent="0.25">
      <c r="A89" s="17" t="s">
        <v>872</v>
      </c>
      <c r="B89" s="17" t="s">
        <v>873</v>
      </c>
      <c r="C89" s="133" t="s">
        <v>874</v>
      </c>
      <c r="D89" s="17" t="s">
        <v>553</v>
      </c>
      <c r="E89" s="17" t="s">
        <v>553</v>
      </c>
      <c r="F89" s="17" t="s">
        <v>54</v>
      </c>
      <c r="G89" s="17" t="s">
        <v>55</v>
      </c>
      <c r="H89" s="17"/>
      <c r="I89" s="17"/>
      <c r="J89" s="17"/>
      <c r="K89" s="17" t="s">
        <v>875</v>
      </c>
      <c r="L89" s="108" t="s">
        <v>876</v>
      </c>
      <c r="M89" s="108" t="s">
        <v>877</v>
      </c>
    </row>
    <row r="90" spans="1:13" ht="270" x14ac:dyDescent="0.25">
      <c r="A90" s="17" t="s">
        <v>878</v>
      </c>
      <c r="B90" s="17" t="s">
        <v>879</v>
      </c>
      <c r="C90" s="133" t="s">
        <v>880</v>
      </c>
      <c r="D90" s="17" t="s">
        <v>553</v>
      </c>
      <c r="E90" s="17" t="s">
        <v>553</v>
      </c>
      <c r="F90" s="17" t="s">
        <v>54</v>
      </c>
      <c r="G90" s="17" t="s">
        <v>55</v>
      </c>
      <c r="H90" s="17"/>
      <c r="I90" s="17"/>
      <c r="J90" s="17"/>
      <c r="K90" s="17" t="s">
        <v>373</v>
      </c>
      <c r="L90" s="108" t="s">
        <v>881</v>
      </c>
      <c r="M90" s="108" t="s">
        <v>877</v>
      </c>
    </row>
    <row r="91" spans="1:13" ht="270" x14ac:dyDescent="0.25">
      <c r="A91" s="17" t="s">
        <v>882</v>
      </c>
      <c r="B91" s="17" t="s">
        <v>883</v>
      </c>
      <c r="C91" s="133" t="s">
        <v>884</v>
      </c>
      <c r="D91" s="17" t="s">
        <v>553</v>
      </c>
      <c r="E91" s="17" t="s">
        <v>553</v>
      </c>
      <c r="F91" s="17" t="s">
        <v>54</v>
      </c>
      <c r="G91" s="17" t="s">
        <v>55</v>
      </c>
      <c r="H91" s="17"/>
      <c r="I91" s="17"/>
      <c r="J91" s="17"/>
      <c r="K91" s="17" t="s">
        <v>373</v>
      </c>
      <c r="L91" s="108" t="s">
        <v>885</v>
      </c>
      <c r="M91" s="108" t="s">
        <v>877</v>
      </c>
    </row>
    <row r="92" spans="1:13" ht="150" x14ac:dyDescent="0.25">
      <c r="A92" s="17" t="s">
        <v>886</v>
      </c>
      <c r="B92" s="17" t="s">
        <v>887</v>
      </c>
      <c r="C92" s="133" t="s">
        <v>888</v>
      </c>
      <c r="D92" s="17" t="s">
        <v>553</v>
      </c>
      <c r="E92" s="17" t="s">
        <v>553</v>
      </c>
      <c r="F92" s="17" t="s">
        <v>54</v>
      </c>
      <c r="G92" s="17" t="s">
        <v>55</v>
      </c>
      <c r="H92" s="17"/>
      <c r="I92" s="17"/>
      <c r="J92" s="17"/>
      <c r="K92" s="17" t="s">
        <v>889</v>
      </c>
      <c r="L92" s="108" t="s">
        <v>890</v>
      </c>
      <c r="M92" s="108" t="s">
        <v>720</v>
      </c>
    </row>
    <row r="93" spans="1:13" ht="150" x14ac:dyDescent="0.25">
      <c r="A93" s="17" t="s">
        <v>891</v>
      </c>
      <c r="B93" s="17" t="s">
        <v>892</v>
      </c>
      <c r="C93" s="133" t="s">
        <v>893</v>
      </c>
      <c r="D93" s="17" t="s">
        <v>553</v>
      </c>
      <c r="E93" s="17" t="s">
        <v>553</v>
      </c>
      <c r="F93" s="17" t="s">
        <v>54</v>
      </c>
      <c r="G93" s="17" t="s">
        <v>55</v>
      </c>
      <c r="H93" s="17"/>
      <c r="I93" s="17"/>
      <c r="J93" s="17"/>
      <c r="K93" s="17" t="s">
        <v>894</v>
      </c>
      <c r="L93" s="108" t="s">
        <v>895</v>
      </c>
      <c r="M93" s="108" t="s">
        <v>720</v>
      </c>
    </row>
    <row r="94" spans="1:13" ht="150" x14ac:dyDescent="0.25">
      <c r="A94" s="17" t="s">
        <v>896</v>
      </c>
      <c r="B94" s="17" t="s">
        <v>897</v>
      </c>
      <c r="C94" s="133" t="s">
        <v>898</v>
      </c>
      <c r="D94" s="17" t="s">
        <v>553</v>
      </c>
      <c r="E94" s="17" t="s">
        <v>553</v>
      </c>
      <c r="F94" s="17" t="s">
        <v>54</v>
      </c>
      <c r="G94" s="17" t="s">
        <v>55</v>
      </c>
      <c r="H94" s="17"/>
      <c r="I94" s="17"/>
      <c r="J94" s="17"/>
      <c r="K94" s="17" t="s">
        <v>899</v>
      </c>
      <c r="L94" s="108" t="s">
        <v>900</v>
      </c>
      <c r="M94" s="108" t="s">
        <v>720</v>
      </c>
    </row>
    <row r="95" spans="1:13" ht="90" x14ac:dyDescent="0.25">
      <c r="A95" s="17" t="s">
        <v>901</v>
      </c>
      <c r="B95" s="17" t="s">
        <v>902</v>
      </c>
      <c r="C95" s="133" t="s">
        <v>903</v>
      </c>
      <c r="D95" s="17" t="s">
        <v>553</v>
      </c>
      <c r="E95" s="17" t="s">
        <v>553</v>
      </c>
      <c r="F95" s="17" t="s">
        <v>54</v>
      </c>
      <c r="G95" s="17" t="s">
        <v>55</v>
      </c>
      <c r="H95" s="17"/>
      <c r="I95" s="17"/>
      <c r="J95" s="17"/>
      <c r="K95" s="17" t="s">
        <v>904</v>
      </c>
      <c r="L95" s="108" t="s">
        <v>905</v>
      </c>
      <c r="M95" s="108" t="s">
        <v>692</v>
      </c>
    </row>
    <row r="96" spans="1:13" ht="180" x14ac:dyDescent="0.25">
      <c r="A96" s="17" t="s">
        <v>906</v>
      </c>
      <c r="B96" s="17" t="s">
        <v>907</v>
      </c>
      <c r="C96" s="133" t="s">
        <v>908</v>
      </c>
      <c r="D96" s="17" t="s">
        <v>553</v>
      </c>
      <c r="E96" s="17" t="s">
        <v>553</v>
      </c>
      <c r="F96" s="17" t="s">
        <v>54</v>
      </c>
      <c r="G96" s="17" t="s">
        <v>55</v>
      </c>
      <c r="H96" s="17"/>
      <c r="I96" s="17"/>
      <c r="J96" s="17"/>
      <c r="K96" s="17" t="s">
        <v>899</v>
      </c>
      <c r="L96" s="108" t="s">
        <v>909</v>
      </c>
      <c r="M96" s="108" t="s">
        <v>692</v>
      </c>
    </row>
    <row r="97" spans="1:13" ht="90" x14ac:dyDescent="0.25">
      <c r="A97" s="17" t="s">
        <v>910</v>
      </c>
      <c r="B97" s="17" t="s">
        <v>911</v>
      </c>
      <c r="C97" s="133" t="s">
        <v>912</v>
      </c>
      <c r="D97" s="17" t="s">
        <v>553</v>
      </c>
      <c r="E97" s="17" t="s">
        <v>553</v>
      </c>
      <c r="F97" s="17" t="s">
        <v>54</v>
      </c>
      <c r="G97" s="17" t="s">
        <v>55</v>
      </c>
      <c r="H97" s="17"/>
      <c r="I97" s="17"/>
      <c r="J97" s="17"/>
      <c r="K97" s="17" t="s">
        <v>785</v>
      </c>
      <c r="L97" s="108" t="s">
        <v>913</v>
      </c>
      <c r="M97" s="108" t="s">
        <v>692</v>
      </c>
    </row>
    <row r="98" spans="1:13" ht="225" x14ac:dyDescent="0.25">
      <c r="A98" s="17" t="s">
        <v>914</v>
      </c>
      <c r="B98" s="17" t="s">
        <v>915</v>
      </c>
      <c r="C98" s="133" t="s">
        <v>916</v>
      </c>
      <c r="D98" s="17" t="s">
        <v>553</v>
      </c>
      <c r="E98" s="17" t="s">
        <v>553</v>
      </c>
      <c r="F98" s="17" t="s">
        <v>54</v>
      </c>
      <c r="G98" s="17" t="s">
        <v>55</v>
      </c>
      <c r="H98" s="17"/>
      <c r="I98" s="17"/>
      <c r="J98" s="17"/>
      <c r="K98" s="17" t="s">
        <v>917</v>
      </c>
      <c r="L98" s="108" t="s">
        <v>918</v>
      </c>
      <c r="M98" s="108" t="s">
        <v>919</v>
      </c>
    </row>
    <row r="99" spans="1:13" ht="90" x14ac:dyDescent="0.25">
      <c r="A99" s="17" t="s">
        <v>920</v>
      </c>
      <c r="B99" s="17" t="s">
        <v>921</v>
      </c>
      <c r="C99" s="133" t="s">
        <v>922</v>
      </c>
      <c r="D99" s="17" t="s">
        <v>553</v>
      </c>
      <c r="E99" s="17" t="s">
        <v>553</v>
      </c>
      <c r="F99" s="17" t="s">
        <v>54</v>
      </c>
      <c r="G99" s="17" t="s">
        <v>55</v>
      </c>
      <c r="H99" s="17"/>
      <c r="I99" s="17"/>
      <c r="J99" s="17"/>
      <c r="K99" s="17" t="s">
        <v>612</v>
      </c>
      <c r="L99" s="108" t="s">
        <v>923</v>
      </c>
      <c r="M99" s="108" t="s">
        <v>692</v>
      </c>
    </row>
    <row r="100" spans="1:13" ht="90" x14ac:dyDescent="0.25">
      <c r="A100" s="17" t="s">
        <v>924</v>
      </c>
      <c r="B100" s="17" t="s">
        <v>925</v>
      </c>
      <c r="C100" s="133" t="s">
        <v>926</v>
      </c>
      <c r="D100" s="17" t="s">
        <v>553</v>
      </c>
      <c r="E100" s="17" t="s">
        <v>553</v>
      </c>
      <c r="F100" s="17" t="s">
        <v>54</v>
      </c>
      <c r="G100" s="17" t="s">
        <v>55</v>
      </c>
      <c r="H100" s="17"/>
      <c r="I100" s="17"/>
      <c r="J100" s="17"/>
      <c r="K100" s="17" t="s">
        <v>927</v>
      </c>
      <c r="L100" s="108" t="s">
        <v>928</v>
      </c>
      <c r="M100" s="108" t="s">
        <v>692</v>
      </c>
    </row>
    <row r="101" spans="1:13" ht="90" x14ac:dyDescent="0.25">
      <c r="A101" s="17" t="s">
        <v>929</v>
      </c>
      <c r="B101" s="17" t="s">
        <v>930</v>
      </c>
      <c r="C101" s="133" t="s">
        <v>931</v>
      </c>
      <c r="D101" s="17" t="s">
        <v>553</v>
      </c>
      <c r="E101" s="17" t="s">
        <v>553</v>
      </c>
      <c r="F101" s="17" t="s">
        <v>54</v>
      </c>
      <c r="G101" s="17" t="s">
        <v>55</v>
      </c>
      <c r="H101" s="17"/>
      <c r="I101" s="17"/>
      <c r="J101" s="17"/>
      <c r="K101" s="17" t="s">
        <v>932</v>
      </c>
      <c r="L101" s="108" t="s">
        <v>933</v>
      </c>
      <c r="M101" s="108" t="s">
        <v>692</v>
      </c>
    </row>
    <row r="102" spans="1:13" ht="90" x14ac:dyDescent="0.25">
      <c r="A102" s="17" t="s">
        <v>934</v>
      </c>
      <c r="B102" s="17" t="s">
        <v>935</v>
      </c>
      <c r="C102" s="133" t="s">
        <v>936</v>
      </c>
      <c r="D102" s="17" t="s">
        <v>553</v>
      </c>
      <c r="E102" s="17" t="s">
        <v>553</v>
      </c>
      <c r="F102" s="17" t="s">
        <v>54</v>
      </c>
      <c r="G102" s="17" t="s">
        <v>55</v>
      </c>
      <c r="H102" s="17"/>
      <c r="I102" s="17"/>
      <c r="J102" s="17"/>
      <c r="K102" s="17" t="s">
        <v>373</v>
      </c>
      <c r="L102" s="108" t="s">
        <v>937</v>
      </c>
      <c r="M102" s="108" t="s">
        <v>692</v>
      </c>
    </row>
    <row r="103" spans="1:13" ht="150" x14ac:dyDescent="0.25">
      <c r="A103" s="17" t="s">
        <v>938</v>
      </c>
      <c r="B103" s="17" t="s">
        <v>939</v>
      </c>
      <c r="C103" s="133" t="s">
        <v>940</v>
      </c>
      <c r="D103" s="17" t="s">
        <v>71</v>
      </c>
      <c r="E103" s="17" t="s">
        <v>71</v>
      </c>
      <c r="F103" s="17" t="s">
        <v>54</v>
      </c>
      <c r="G103" s="17" t="s">
        <v>55</v>
      </c>
      <c r="H103" s="17"/>
      <c r="I103" s="17"/>
      <c r="J103" s="17"/>
      <c r="K103" s="17" t="s">
        <v>941</v>
      </c>
      <c r="L103" s="108" t="s">
        <v>942</v>
      </c>
      <c r="M103" s="108" t="s">
        <v>720</v>
      </c>
    </row>
    <row r="104" spans="1:13" ht="150" x14ac:dyDescent="0.25">
      <c r="A104" s="17" t="s">
        <v>943</v>
      </c>
      <c r="B104" s="17" t="s">
        <v>944</v>
      </c>
      <c r="C104" s="133" t="s">
        <v>884</v>
      </c>
      <c r="D104" s="17" t="s">
        <v>71</v>
      </c>
      <c r="E104" s="17" t="s">
        <v>71</v>
      </c>
      <c r="F104" s="17" t="s">
        <v>54</v>
      </c>
      <c r="G104" s="17" t="s">
        <v>55</v>
      </c>
      <c r="H104" s="17"/>
      <c r="I104" s="17"/>
      <c r="J104" s="17"/>
      <c r="K104" s="17" t="s">
        <v>373</v>
      </c>
      <c r="L104" s="108" t="s">
        <v>885</v>
      </c>
      <c r="M104" s="108" t="s">
        <v>720</v>
      </c>
    </row>
    <row r="105" spans="1:13" ht="150" x14ac:dyDescent="0.25">
      <c r="A105" s="17" t="s">
        <v>945</v>
      </c>
      <c r="B105" s="17" t="s">
        <v>946</v>
      </c>
      <c r="C105" s="133" t="s">
        <v>874</v>
      </c>
      <c r="D105" s="17" t="s">
        <v>71</v>
      </c>
      <c r="E105" s="17" t="s">
        <v>71</v>
      </c>
      <c r="F105" s="17" t="s">
        <v>54</v>
      </c>
      <c r="G105" s="17" t="s">
        <v>55</v>
      </c>
      <c r="H105" s="17"/>
      <c r="I105" s="17"/>
      <c r="J105" s="17"/>
      <c r="K105" s="17" t="s">
        <v>947</v>
      </c>
      <c r="L105" s="108" t="s">
        <v>948</v>
      </c>
      <c r="M105" s="108" t="s">
        <v>720</v>
      </c>
    </row>
    <row r="106" spans="1:13" ht="150" x14ac:dyDescent="0.25">
      <c r="A106" s="17" t="s">
        <v>949</v>
      </c>
      <c r="B106" s="17" t="s">
        <v>950</v>
      </c>
      <c r="C106" s="133" t="s">
        <v>951</v>
      </c>
      <c r="D106" s="17" t="s">
        <v>71</v>
      </c>
      <c r="E106" s="17" t="s">
        <v>71</v>
      </c>
      <c r="F106" s="17" t="s">
        <v>54</v>
      </c>
      <c r="G106" s="17" t="s">
        <v>55</v>
      </c>
      <c r="H106" s="17"/>
      <c r="I106" s="17"/>
      <c r="J106" s="17"/>
      <c r="K106" s="17" t="s">
        <v>952</v>
      </c>
      <c r="L106" s="108" t="s">
        <v>953</v>
      </c>
      <c r="M106" s="108" t="s">
        <v>720</v>
      </c>
    </row>
    <row r="107" spans="1:13" ht="300" customHeight="1" x14ac:dyDescent="0.25">
      <c r="A107" s="17" t="s">
        <v>954</v>
      </c>
      <c r="B107" s="17" t="s">
        <v>955</v>
      </c>
      <c r="C107" s="133" t="s">
        <v>956</v>
      </c>
      <c r="D107" s="17" t="s">
        <v>71</v>
      </c>
      <c r="E107" s="17" t="s">
        <v>71</v>
      </c>
      <c r="F107" s="17" t="s">
        <v>54</v>
      </c>
      <c r="G107" s="17" t="s">
        <v>55</v>
      </c>
      <c r="H107" s="17"/>
      <c r="I107" s="17"/>
      <c r="J107" s="17"/>
      <c r="K107" s="17" t="s">
        <v>957</v>
      </c>
      <c r="L107" s="108" t="s">
        <v>958</v>
      </c>
      <c r="M107" s="108" t="s">
        <v>959</v>
      </c>
    </row>
    <row r="108" spans="1:13" ht="120" x14ac:dyDescent="0.25">
      <c r="A108" s="17" t="s">
        <v>960</v>
      </c>
      <c r="B108" s="17" t="s">
        <v>961</v>
      </c>
      <c r="C108" s="133" t="s">
        <v>962</v>
      </c>
      <c r="D108" s="17" t="s">
        <v>71</v>
      </c>
      <c r="E108" s="17" t="s">
        <v>71</v>
      </c>
      <c r="F108" s="17" t="s">
        <v>54</v>
      </c>
      <c r="G108" s="17" t="s">
        <v>55</v>
      </c>
      <c r="H108" s="17"/>
      <c r="I108" s="17"/>
      <c r="J108" s="17"/>
      <c r="K108" s="17" t="s">
        <v>707</v>
      </c>
      <c r="L108" s="108" t="s">
        <v>963</v>
      </c>
      <c r="M108" s="108" t="s">
        <v>692</v>
      </c>
    </row>
    <row r="109" spans="1:13" ht="150" x14ac:dyDescent="0.25">
      <c r="A109" s="17" t="s">
        <v>964</v>
      </c>
      <c r="B109" s="17" t="s">
        <v>965</v>
      </c>
      <c r="C109" s="133" t="s">
        <v>966</v>
      </c>
      <c r="D109" s="17" t="s">
        <v>565</v>
      </c>
      <c r="E109" s="17" t="s">
        <v>565</v>
      </c>
      <c r="F109" s="17" t="s">
        <v>54</v>
      </c>
      <c r="G109" s="17" t="s">
        <v>55</v>
      </c>
      <c r="H109" s="17"/>
      <c r="I109" s="17"/>
      <c r="J109" s="17"/>
      <c r="K109" s="17" t="s">
        <v>373</v>
      </c>
      <c r="L109" s="108" t="s">
        <v>967</v>
      </c>
      <c r="M109" s="108" t="s">
        <v>720</v>
      </c>
    </row>
    <row r="110" spans="1:13" ht="165" x14ac:dyDescent="0.25">
      <c r="A110" s="17" t="s">
        <v>968</v>
      </c>
      <c r="B110" s="17" t="s">
        <v>969</v>
      </c>
      <c r="C110" s="133" t="s">
        <v>970</v>
      </c>
      <c r="D110" s="17" t="s">
        <v>565</v>
      </c>
      <c r="E110" s="17" t="s">
        <v>565</v>
      </c>
      <c r="F110" s="17" t="s">
        <v>54</v>
      </c>
      <c r="G110" s="17" t="s">
        <v>55</v>
      </c>
      <c r="H110" s="17"/>
      <c r="I110" s="17"/>
      <c r="J110" s="17"/>
      <c r="K110" s="17" t="s">
        <v>767</v>
      </c>
      <c r="L110" s="108" t="s">
        <v>971</v>
      </c>
      <c r="M110" s="108" t="s">
        <v>972</v>
      </c>
    </row>
    <row r="111" spans="1:13" ht="180" x14ac:dyDescent="0.25">
      <c r="A111" s="17" t="s">
        <v>973</v>
      </c>
      <c r="B111" s="17" t="s">
        <v>974</v>
      </c>
      <c r="C111" s="133" t="s">
        <v>975</v>
      </c>
      <c r="D111" s="17" t="s">
        <v>565</v>
      </c>
      <c r="E111" s="17" t="s">
        <v>565</v>
      </c>
      <c r="F111" s="17" t="s">
        <v>54</v>
      </c>
      <c r="G111" s="17" t="s">
        <v>55</v>
      </c>
      <c r="H111" s="17"/>
      <c r="I111" s="17"/>
      <c r="J111" s="17"/>
      <c r="K111" s="17" t="s">
        <v>707</v>
      </c>
      <c r="L111" s="108" t="s">
        <v>976</v>
      </c>
      <c r="M111" s="108" t="s">
        <v>977</v>
      </c>
    </row>
    <row r="112" spans="1:13" ht="90" x14ac:dyDescent="0.25">
      <c r="A112" s="17" t="s">
        <v>978</v>
      </c>
      <c r="B112" s="17" t="s">
        <v>979</v>
      </c>
      <c r="C112" s="133" t="s">
        <v>980</v>
      </c>
      <c r="D112" s="17" t="s">
        <v>565</v>
      </c>
      <c r="E112" s="17" t="s">
        <v>565</v>
      </c>
      <c r="F112" s="17" t="s">
        <v>54</v>
      </c>
      <c r="G112" s="17" t="s">
        <v>55</v>
      </c>
      <c r="H112" s="17"/>
      <c r="I112" s="17"/>
      <c r="J112" s="17"/>
      <c r="K112" s="17" t="s">
        <v>707</v>
      </c>
      <c r="L112" s="108" t="s">
        <v>981</v>
      </c>
      <c r="M112" s="108" t="s">
        <v>692</v>
      </c>
    </row>
    <row r="113" spans="1:13" ht="90" x14ac:dyDescent="0.25">
      <c r="A113" s="17" t="s">
        <v>982</v>
      </c>
      <c r="B113" s="17" t="s">
        <v>983</v>
      </c>
      <c r="C113" s="133" t="s">
        <v>984</v>
      </c>
      <c r="D113" s="17" t="s">
        <v>565</v>
      </c>
      <c r="E113" s="17" t="s">
        <v>565</v>
      </c>
      <c r="F113" s="17" t="s">
        <v>54</v>
      </c>
      <c r="G113" s="17" t="s">
        <v>55</v>
      </c>
      <c r="H113" s="17"/>
      <c r="I113" s="17"/>
      <c r="J113" s="17"/>
      <c r="K113" s="17" t="s">
        <v>985</v>
      </c>
      <c r="L113" s="108" t="s">
        <v>986</v>
      </c>
      <c r="M113" s="108" t="s">
        <v>692</v>
      </c>
    </row>
    <row r="114" spans="1:13" ht="90" x14ac:dyDescent="0.25">
      <c r="A114" s="17" t="s">
        <v>987</v>
      </c>
      <c r="B114" s="17" t="s">
        <v>988</v>
      </c>
      <c r="C114" s="133" t="s">
        <v>989</v>
      </c>
      <c r="D114" s="17" t="s">
        <v>565</v>
      </c>
      <c r="E114" s="17" t="s">
        <v>565</v>
      </c>
      <c r="F114" s="17" t="s">
        <v>54</v>
      </c>
      <c r="G114" s="17" t="s">
        <v>55</v>
      </c>
      <c r="H114" s="17"/>
      <c r="I114" s="17"/>
      <c r="J114" s="17"/>
      <c r="K114" s="17" t="s">
        <v>707</v>
      </c>
      <c r="L114" s="108" t="s">
        <v>990</v>
      </c>
      <c r="M114" s="108" t="s">
        <v>692</v>
      </c>
    </row>
    <row r="115" spans="1:13" ht="90" x14ac:dyDescent="0.25">
      <c r="A115" s="17" t="s">
        <v>991</v>
      </c>
      <c r="B115" s="17" t="s">
        <v>992</v>
      </c>
      <c r="C115" s="133" t="s">
        <v>993</v>
      </c>
      <c r="D115" s="17" t="s">
        <v>565</v>
      </c>
      <c r="E115" s="17" t="s">
        <v>565</v>
      </c>
      <c r="F115" s="17" t="s">
        <v>54</v>
      </c>
      <c r="G115" s="17" t="s">
        <v>55</v>
      </c>
      <c r="H115" s="17"/>
      <c r="I115" s="17"/>
      <c r="J115" s="17"/>
      <c r="K115" s="17" t="s">
        <v>767</v>
      </c>
      <c r="L115" s="108" t="s">
        <v>994</v>
      </c>
      <c r="M115" s="108" t="s">
        <v>692</v>
      </c>
    </row>
    <row r="116" spans="1:13" ht="90" x14ac:dyDescent="0.25">
      <c r="A116" s="17" t="s">
        <v>995</v>
      </c>
      <c r="B116" s="17" t="s">
        <v>996</v>
      </c>
      <c r="C116" s="133" t="s">
        <v>997</v>
      </c>
      <c r="D116" s="17" t="s">
        <v>565</v>
      </c>
      <c r="E116" s="17" t="s">
        <v>565</v>
      </c>
      <c r="F116" s="17" t="s">
        <v>54</v>
      </c>
      <c r="G116" s="17" t="s">
        <v>55</v>
      </c>
      <c r="H116" s="17"/>
      <c r="I116" s="17"/>
      <c r="J116" s="17"/>
      <c r="K116" s="17" t="s">
        <v>998</v>
      </c>
      <c r="L116" s="108" t="s">
        <v>999</v>
      </c>
      <c r="M116" s="108" t="s">
        <v>692</v>
      </c>
    </row>
    <row r="117" spans="1:13" ht="90" x14ac:dyDescent="0.25">
      <c r="A117" s="17" t="s">
        <v>1000</v>
      </c>
      <c r="B117" s="17" t="s">
        <v>1001</v>
      </c>
      <c r="C117" s="133" t="s">
        <v>1002</v>
      </c>
      <c r="D117" s="17" t="s">
        <v>565</v>
      </c>
      <c r="E117" s="17" t="s">
        <v>565</v>
      </c>
      <c r="F117" s="17" t="s">
        <v>54</v>
      </c>
      <c r="G117" s="17" t="s">
        <v>55</v>
      </c>
      <c r="H117" s="17"/>
      <c r="I117" s="17"/>
      <c r="J117" s="17"/>
      <c r="K117" s="17" t="s">
        <v>707</v>
      </c>
      <c r="L117" s="108" t="s">
        <v>1003</v>
      </c>
      <c r="M117" s="108" t="s">
        <v>692</v>
      </c>
    </row>
    <row r="118" spans="1:13" ht="90" x14ac:dyDescent="0.25">
      <c r="A118" s="17" t="s">
        <v>1004</v>
      </c>
      <c r="B118" s="17" t="s">
        <v>1005</v>
      </c>
      <c r="C118" s="133" t="s">
        <v>1006</v>
      </c>
      <c r="D118" s="17" t="s">
        <v>570</v>
      </c>
      <c r="E118" s="17" t="s">
        <v>570</v>
      </c>
      <c r="F118" s="17" t="s">
        <v>54</v>
      </c>
      <c r="G118" s="17" t="s">
        <v>55</v>
      </c>
      <c r="H118" s="17"/>
      <c r="I118" s="17"/>
      <c r="J118" s="17"/>
      <c r="K118" s="17" t="s">
        <v>1007</v>
      </c>
      <c r="L118" s="108" t="s">
        <v>1008</v>
      </c>
      <c r="M118" s="108" t="s">
        <v>692</v>
      </c>
    </row>
    <row r="119" spans="1:13" ht="90" x14ac:dyDescent="0.25">
      <c r="A119" s="17" t="s">
        <v>1009</v>
      </c>
      <c r="B119" s="17" t="s">
        <v>1010</v>
      </c>
      <c r="C119" s="133" t="s">
        <v>1011</v>
      </c>
      <c r="D119" s="17" t="s">
        <v>570</v>
      </c>
      <c r="E119" s="17" t="s">
        <v>570</v>
      </c>
      <c r="F119" s="17" t="s">
        <v>54</v>
      </c>
      <c r="G119" s="17" t="s">
        <v>55</v>
      </c>
      <c r="H119" s="17"/>
      <c r="I119" s="17"/>
      <c r="J119" s="17"/>
      <c r="K119" s="17" t="s">
        <v>1012</v>
      </c>
      <c r="L119" s="108" t="s">
        <v>1013</v>
      </c>
      <c r="M119" s="108" t="s">
        <v>692</v>
      </c>
    </row>
    <row r="120" spans="1:13" ht="90" x14ac:dyDescent="0.25">
      <c r="A120" s="17" t="s">
        <v>1014</v>
      </c>
      <c r="B120" s="17" t="s">
        <v>1015</v>
      </c>
      <c r="C120" s="133" t="s">
        <v>1016</v>
      </c>
      <c r="D120" s="17" t="s">
        <v>570</v>
      </c>
      <c r="E120" s="17" t="s">
        <v>570</v>
      </c>
      <c r="F120" s="17" t="s">
        <v>54</v>
      </c>
      <c r="G120" s="17" t="s">
        <v>55</v>
      </c>
      <c r="H120" s="17"/>
      <c r="I120" s="17"/>
      <c r="J120" s="17"/>
      <c r="K120" s="17" t="s">
        <v>1017</v>
      </c>
      <c r="L120" s="108" t="s">
        <v>1018</v>
      </c>
      <c r="M120" s="108" t="s">
        <v>692</v>
      </c>
    </row>
    <row r="121" spans="1:13" ht="150" x14ac:dyDescent="0.25">
      <c r="A121" s="17" t="s">
        <v>1019</v>
      </c>
      <c r="B121" s="17" t="s">
        <v>1020</v>
      </c>
      <c r="C121" s="133" t="s">
        <v>1021</v>
      </c>
      <c r="D121" s="17" t="s">
        <v>570</v>
      </c>
      <c r="E121" s="17" t="s">
        <v>570</v>
      </c>
      <c r="F121" s="17" t="s">
        <v>54</v>
      </c>
      <c r="G121" s="17" t="s">
        <v>55</v>
      </c>
      <c r="H121" s="17"/>
      <c r="I121" s="17"/>
      <c r="J121" s="17"/>
      <c r="K121" s="17" t="s">
        <v>1022</v>
      </c>
      <c r="L121" s="108" t="s">
        <v>1023</v>
      </c>
      <c r="M121" s="108" t="s">
        <v>692</v>
      </c>
    </row>
    <row r="122" spans="1:13" ht="90" x14ac:dyDescent="0.25">
      <c r="A122" s="17" t="s">
        <v>1024</v>
      </c>
      <c r="B122" s="17" t="s">
        <v>1025</v>
      </c>
      <c r="C122" s="133" t="s">
        <v>1026</v>
      </c>
      <c r="D122" s="17" t="s">
        <v>570</v>
      </c>
      <c r="E122" s="17" t="s">
        <v>570</v>
      </c>
      <c r="F122" s="17" t="s">
        <v>54</v>
      </c>
      <c r="G122" s="17" t="s">
        <v>55</v>
      </c>
      <c r="H122" s="17"/>
      <c r="I122" s="17"/>
      <c r="J122" s="17"/>
      <c r="K122" s="17" t="s">
        <v>1027</v>
      </c>
      <c r="L122" s="108" t="s">
        <v>1028</v>
      </c>
      <c r="M122" s="108" t="s">
        <v>692</v>
      </c>
    </row>
    <row r="123" spans="1:13" ht="90" x14ac:dyDescent="0.25">
      <c r="A123" s="17" t="s">
        <v>1029</v>
      </c>
      <c r="B123" s="17" t="s">
        <v>1030</v>
      </c>
      <c r="C123" s="133" t="s">
        <v>1031</v>
      </c>
      <c r="D123" s="17" t="s">
        <v>570</v>
      </c>
      <c r="E123" s="17" t="s">
        <v>570</v>
      </c>
      <c r="F123" s="17" t="s">
        <v>54</v>
      </c>
      <c r="G123" s="17" t="s">
        <v>55</v>
      </c>
      <c r="H123" s="17"/>
      <c r="I123" s="17"/>
      <c r="J123" s="17"/>
      <c r="K123" s="17" t="s">
        <v>1032</v>
      </c>
      <c r="L123" s="108" t="s">
        <v>1033</v>
      </c>
      <c r="M123" s="108" t="s">
        <v>692</v>
      </c>
    </row>
    <row r="124" spans="1:13" ht="90" x14ac:dyDescent="0.25">
      <c r="A124" s="17" t="s">
        <v>1034</v>
      </c>
      <c r="B124" s="17" t="s">
        <v>1035</v>
      </c>
      <c r="C124" s="133" t="s">
        <v>1036</v>
      </c>
      <c r="D124" s="17" t="s">
        <v>570</v>
      </c>
      <c r="E124" s="17" t="s">
        <v>570</v>
      </c>
      <c r="F124" s="17" t="s">
        <v>54</v>
      </c>
      <c r="G124" s="17" t="s">
        <v>55</v>
      </c>
      <c r="H124" s="17"/>
      <c r="I124" s="17"/>
      <c r="J124" s="17"/>
      <c r="K124" s="17" t="s">
        <v>1037</v>
      </c>
      <c r="L124" s="108" t="s">
        <v>1038</v>
      </c>
      <c r="M124" s="108" t="s">
        <v>692</v>
      </c>
    </row>
    <row r="125" spans="1:13" ht="90" x14ac:dyDescent="0.25">
      <c r="A125" s="17" t="s">
        <v>1039</v>
      </c>
      <c r="B125" s="17" t="s">
        <v>1040</v>
      </c>
      <c r="C125" s="133" t="s">
        <v>1041</v>
      </c>
      <c r="D125" s="17" t="s">
        <v>572</v>
      </c>
      <c r="E125" s="17" t="s">
        <v>572</v>
      </c>
      <c r="F125" s="17" t="s">
        <v>54</v>
      </c>
      <c r="G125" s="17" t="s">
        <v>55</v>
      </c>
      <c r="H125" s="17"/>
      <c r="I125" s="17"/>
      <c r="J125" s="17"/>
      <c r="K125" s="17" t="s">
        <v>671</v>
      </c>
      <c r="L125" s="108" t="s">
        <v>1042</v>
      </c>
      <c r="M125" s="108" t="s">
        <v>692</v>
      </c>
    </row>
    <row r="126" spans="1:13" ht="90" x14ac:dyDescent="0.25">
      <c r="A126" s="17" t="s">
        <v>1043</v>
      </c>
      <c r="B126" s="17" t="s">
        <v>1044</v>
      </c>
      <c r="C126" s="133" t="s">
        <v>1045</v>
      </c>
      <c r="D126" s="17" t="s">
        <v>572</v>
      </c>
      <c r="E126" s="17" t="s">
        <v>572</v>
      </c>
      <c r="F126" s="17" t="s">
        <v>54</v>
      </c>
      <c r="G126" s="17" t="s">
        <v>55</v>
      </c>
      <c r="H126" s="17"/>
      <c r="I126" s="17"/>
      <c r="J126" s="17"/>
      <c r="K126" s="17" t="s">
        <v>1046</v>
      </c>
      <c r="L126" s="108" t="s">
        <v>1047</v>
      </c>
      <c r="M126" s="108" t="s">
        <v>692</v>
      </c>
    </row>
    <row r="127" spans="1:13" ht="90" x14ac:dyDescent="0.25">
      <c r="A127" s="17" t="s">
        <v>1048</v>
      </c>
      <c r="B127" s="17" t="s">
        <v>1049</v>
      </c>
      <c r="C127" s="133" t="s">
        <v>1050</v>
      </c>
      <c r="D127" s="17" t="s">
        <v>572</v>
      </c>
      <c r="E127" s="17" t="s">
        <v>572</v>
      </c>
      <c r="F127" s="17" t="s">
        <v>54</v>
      </c>
      <c r="G127" s="17" t="s">
        <v>55</v>
      </c>
      <c r="H127" s="17"/>
      <c r="I127" s="17"/>
      <c r="J127" s="17"/>
      <c r="K127" s="17" t="s">
        <v>1051</v>
      </c>
      <c r="L127" s="108" t="s">
        <v>1052</v>
      </c>
      <c r="M127" s="108" t="s">
        <v>692</v>
      </c>
    </row>
    <row r="128" spans="1:13" ht="90" x14ac:dyDescent="0.25">
      <c r="A128" s="17" t="s">
        <v>1053</v>
      </c>
      <c r="B128" s="17" t="s">
        <v>1054</v>
      </c>
      <c r="C128" s="133" t="s">
        <v>1055</v>
      </c>
      <c r="D128" s="17" t="s">
        <v>572</v>
      </c>
      <c r="E128" s="17" t="s">
        <v>572</v>
      </c>
      <c r="F128" s="17" t="s">
        <v>54</v>
      </c>
      <c r="G128" s="17" t="s">
        <v>55</v>
      </c>
      <c r="H128" s="17"/>
      <c r="I128" s="17"/>
      <c r="J128" s="17"/>
      <c r="K128" s="17" t="s">
        <v>1056</v>
      </c>
      <c r="L128" s="108" t="s">
        <v>1057</v>
      </c>
      <c r="M128" s="108" t="s">
        <v>692</v>
      </c>
    </row>
    <row r="129" spans="1:13" ht="90" x14ac:dyDescent="0.25">
      <c r="A129" s="17" t="s">
        <v>1058</v>
      </c>
      <c r="B129" s="17" t="s">
        <v>1059</v>
      </c>
      <c r="C129" s="133" t="s">
        <v>1060</v>
      </c>
      <c r="D129" s="17" t="s">
        <v>572</v>
      </c>
      <c r="E129" s="17" t="s">
        <v>572</v>
      </c>
      <c r="F129" s="17" t="s">
        <v>54</v>
      </c>
      <c r="G129" s="17" t="s">
        <v>55</v>
      </c>
      <c r="H129" s="17"/>
      <c r="I129" s="17"/>
      <c r="J129" s="17"/>
      <c r="K129" s="17" t="s">
        <v>1061</v>
      </c>
      <c r="L129" s="108" t="s">
        <v>1062</v>
      </c>
      <c r="M129" s="108" t="s">
        <v>692</v>
      </c>
    </row>
    <row r="130" spans="1:13" ht="90" x14ac:dyDescent="0.25">
      <c r="A130" s="17" t="s">
        <v>1063</v>
      </c>
      <c r="B130" s="17" t="s">
        <v>1064</v>
      </c>
      <c r="C130" s="133" t="s">
        <v>1065</v>
      </c>
      <c r="D130" s="17" t="s">
        <v>572</v>
      </c>
      <c r="E130" s="17" t="s">
        <v>572</v>
      </c>
      <c r="F130" s="17" t="s">
        <v>54</v>
      </c>
      <c r="G130" s="17" t="s">
        <v>55</v>
      </c>
      <c r="H130" s="17"/>
      <c r="I130" s="17"/>
      <c r="J130" s="17"/>
      <c r="K130" s="17" t="s">
        <v>1066</v>
      </c>
      <c r="L130" s="108" t="s">
        <v>1067</v>
      </c>
      <c r="M130" s="108" t="s">
        <v>692</v>
      </c>
    </row>
    <row r="131" spans="1:13" ht="90" x14ac:dyDescent="0.25">
      <c r="A131" s="17" t="s">
        <v>1068</v>
      </c>
      <c r="B131" s="17" t="s">
        <v>1069</v>
      </c>
      <c r="C131" s="133" t="s">
        <v>1070</v>
      </c>
      <c r="D131" s="17" t="s">
        <v>572</v>
      </c>
      <c r="E131" s="17" t="s">
        <v>572</v>
      </c>
      <c r="F131" s="17" t="s">
        <v>54</v>
      </c>
      <c r="G131" s="17" t="s">
        <v>55</v>
      </c>
      <c r="H131" s="17"/>
      <c r="I131" s="17"/>
      <c r="J131" s="17"/>
      <c r="K131" s="17" t="s">
        <v>1071</v>
      </c>
      <c r="L131" s="108" t="s">
        <v>1072</v>
      </c>
      <c r="M131" s="108" t="s">
        <v>692</v>
      </c>
    </row>
    <row r="132" spans="1:13" ht="135" x14ac:dyDescent="0.25">
      <c r="A132" s="17" t="s">
        <v>1073</v>
      </c>
      <c r="B132" s="17" t="s">
        <v>1074</v>
      </c>
      <c r="C132" s="133" t="s">
        <v>1075</v>
      </c>
      <c r="D132" s="17" t="s">
        <v>572</v>
      </c>
      <c r="E132" s="17" t="s">
        <v>572</v>
      </c>
      <c r="F132" s="17" t="s">
        <v>54</v>
      </c>
      <c r="G132" s="17" t="s">
        <v>55</v>
      </c>
      <c r="H132" s="17"/>
      <c r="I132" s="17"/>
      <c r="J132" s="17"/>
      <c r="K132" s="17" t="s">
        <v>1076</v>
      </c>
      <c r="L132" s="108" t="s">
        <v>1077</v>
      </c>
      <c r="M132" s="108" t="s">
        <v>692</v>
      </c>
    </row>
    <row r="133" spans="1:13" ht="90" x14ac:dyDescent="0.25">
      <c r="A133" s="17" t="s">
        <v>1078</v>
      </c>
      <c r="B133" s="17" t="s">
        <v>1079</v>
      </c>
      <c r="C133" s="133" t="s">
        <v>1080</v>
      </c>
      <c r="D133" s="17" t="s">
        <v>572</v>
      </c>
      <c r="E133" s="17" t="s">
        <v>572</v>
      </c>
      <c r="F133" s="17" t="s">
        <v>54</v>
      </c>
      <c r="G133" s="17" t="s">
        <v>55</v>
      </c>
      <c r="H133" s="17"/>
      <c r="I133" s="17"/>
      <c r="J133" s="17"/>
      <c r="K133" s="17" t="s">
        <v>1081</v>
      </c>
      <c r="L133" s="108" t="s">
        <v>1082</v>
      </c>
      <c r="M133" s="108" t="s">
        <v>692</v>
      </c>
    </row>
    <row r="134" spans="1:13" ht="90" x14ac:dyDescent="0.25">
      <c r="A134" s="17" t="s">
        <v>1083</v>
      </c>
      <c r="B134" s="17" t="s">
        <v>1084</v>
      </c>
      <c r="C134" s="133" t="s">
        <v>1085</v>
      </c>
      <c r="D134" s="17" t="s">
        <v>572</v>
      </c>
      <c r="E134" s="17" t="s">
        <v>572</v>
      </c>
      <c r="F134" s="17" t="s">
        <v>54</v>
      </c>
      <c r="G134" s="17" t="s">
        <v>55</v>
      </c>
      <c r="H134" s="17"/>
      <c r="I134" s="17"/>
      <c r="J134" s="17"/>
      <c r="K134" s="17" t="s">
        <v>1086</v>
      </c>
      <c r="L134" s="108" t="s">
        <v>1087</v>
      </c>
      <c r="M134" s="108" t="s">
        <v>692</v>
      </c>
    </row>
    <row r="135" spans="1:13" ht="90" x14ac:dyDescent="0.25">
      <c r="A135" s="17" t="s">
        <v>1088</v>
      </c>
      <c r="B135" s="17" t="s">
        <v>1089</v>
      </c>
      <c r="C135" s="133" t="s">
        <v>1090</v>
      </c>
      <c r="D135" s="17" t="s">
        <v>572</v>
      </c>
      <c r="E135" s="17" t="s">
        <v>572</v>
      </c>
      <c r="F135" s="17" t="s">
        <v>54</v>
      </c>
      <c r="G135" s="17" t="s">
        <v>55</v>
      </c>
      <c r="H135" s="17"/>
      <c r="I135" s="17"/>
      <c r="J135" s="17"/>
      <c r="K135" s="17" t="s">
        <v>1091</v>
      </c>
      <c r="L135" s="108" t="s">
        <v>1092</v>
      </c>
      <c r="M135" s="108" t="s">
        <v>692</v>
      </c>
    </row>
    <row r="136" spans="1:13" ht="90" x14ac:dyDescent="0.25">
      <c r="A136" s="17" t="s">
        <v>1093</v>
      </c>
      <c r="B136" s="17" t="s">
        <v>1094</v>
      </c>
      <c r="C136" s="133" t="s">
        <v>1095</v>
      </c>
      <c r="D136" s="17" t="s">
        <v>572</v>
      </c>
      <c r="E136" s="17" t="s">
        <v>572</v>
      </c>
      <c r="F136" s="17" t="s">
        <v>54</v>
      </c>
      <c r="G136" s="17" t="s">
        <v>55</v>
      </c>
      <c r="H136" s="17"/>
      <c r="I136" s="17"/>
      <c r="J136" s="17"/>
      <c r="K136" s="17" t="s">
        <v>1096</v>
      </c>
      <c r="L136" s="108" t="s">
        <v>1097</v>
      </c>
      <c r="M136" s="108" t="s">
        <v>692</v>
      </c>
    </row>
    <row r="137" spans="1:13" ht="90" x14ac:dyDescent="0.25">
      <c r="A137" s="17" t="s">
        <v>1098</v>
      </c>
      <c r="B137" s="17" t="s">
        <v>1099</v>
      </c>
      <c r="C137" s="133" t="s">
        <v>1100</v>
      </c>
      <c r="D137" s="17" t="s">
        <v>572</v>
      </c>
      <c r="E137" s="17" t="s">
        <v>572</v>
      </c>
      <c r="F137" s="17" t="s">
        <v>54</v>
      </c>
      <c r="G137" s="17" t="s">
        <v>55</v>
      </c>
      <c r="H137" s="17"/>
      <c r="I137" s="17"/>
      <c r="J137" s="17"/>
      <c r="K137" s="17" t="s">
        <v>1101</v>
      </c>
      <c r="L137" s="108" t="s">
        <v>1102</v>
      </c>
      <c r="M137" s="108" t="s">
        <v>692</v>
      </c>
    </row>
    <row r="138" spans="1:13" ht="90" x14ac:dyDescent="0.25">
      <c r="A138" s="17" t="s">
        <v>1103</v>
      </c>
      <c r="B138" s="17" t="s">
        <v>1104</v>
      </c>
      <c r="C138" s="133" t="s">
        <v>1105</v>
      </c>
      <c r="D138" s="17" t="s">
        <v>572</v>
      </c>
      <c r="E138" s="17" t="s">
        <v>572</v>
      </c>
      <c r="F138" s="17" t="s">
        <v>54</v>
      </c>
      <c r="G138" s="17" t="s">
        <v>55</v>
      </c>
      <c r="H138" s="17"/>
      <c r="I138" s="17"/>
      <c r="J138" s="17"/>
      <c r="K138" s="17" t="s">
        <v>1106</v>
      </c>
      <c r="L138" s="108" t="s">
        <v>1107</v>
      </c>
      <c r="M138" s="108" t="s">
        <v>692</v>
      </c>
    </row>
    <row r="139" spans="1:13" ht="90" x14ac:dyDescent="0.25">
      <c r="A139" s="17" t="s">
        <v>1108</v>
      </c>
      <c r="B139" s="17" t="s">
        <v>1109</v>
      </c>
      <c r="C139" s="133" t="s">
        <v>1110</v>
      </c>
      <c r="D139" s="17" t="s">
        <v>572</v>
      </c>
      <c r="E139" s="17" t="s">
        <v>572</v>
      </c>
      <c r="F139" s="17" t="s">
        <v>54</v>
      </c>
      <c r="G139" s="17" t="s">
        <v>55</v>
      </c>
      <c r="H139" s="17"/>
      <c r="I139" s="17"/>
      <c r="J139" s="17"/>
      <c r="K139" s="17" t="s">
        <v>1111</v>
      </c>
      <c r="L139" s="108" t="s">
        <v>1112</v>
      </c>
      <c r="M139" s="108" t="s">
        <v>692</v>
      </c>
    </row>
    <row r="140" spans="1:13" ht="90" x14ac:dyDescent="0.25">
      <c r="A140" s="17" t="s">
        <v>1113</v>
      </c>
      <c r="B140" s="17" t="s">
        <v>1114</v>
      </c>
      <c r="C140" s="133" t="s">
        <v>1115</v>
      </c>
      <c r="D140" s="17" t="s">
        <v>572</v>
      </c>
      <c r="E140" s="17" t="s">
        <v>572</v>
      </c>
      <c r="F140" s="17" t="s">
        <v>54</v>
      </c>
      <c r="G140" s="17" t="s">
        <v>55</v>
      </c>
      <c r="H140" s="17"/>
      <c r="I140" s="17"/>
      <c r="J140" s="17"/>
      <c r="K140" s="17" t="s">
        <v>1116</v>
      </c>
      <c r="L140" s="108" t="s">
        <v>1117</v>
      </c>
      <c r="M140" s="108" t="s">
        <v>692</v>
      </c>
    </row>
    <row r="141" spans="1:13" ht="90" x14ac:dyDescent="0.25">
      <c r="A141" s="17" t="s">
        <v>1118</v>
      </c>
      <c r="B141" s="17" t="s">
        <v>1119</v>
      </c>
      <c r="C141" s="133" t="s">
        <v>1120</v>
      </c>
      <c r="D141" s="17" t="s">
        <v>572</v>
      </c>
      <c r="E141" s="17" t="s">
        <v>572</v>
      </c>
      <c r="F141" s="17" t="s">
        <v>54</v>
      </c>
      <c r="G141" s="17" t="s">
        <v>55</v>
      </c>
      <c r="H141" s="17"/>
      <c r="I141" s="17"/>
      <c r="J141" s="17"/>
      <c r="K141" s="17" t="s">
        <v>1121</v>
      </c>
      <c r="L141" s="108" t="s">
        <v>1122</v>
      </c>
      <c r="M141" s="108" t="s">
        <v>692</v>
      </c>
    </row>
    <row r="142" spans="1:13" ht="90" x14ac:dyDescent="0.25">
      <c r="A142" s="17" t="s">
        <v>1123</v>
      </c>
      <c r="B142" s="17" t="s">
        <v>1124</v>
      </c>
      <c r="C142" s="133" t="s">
        <v>1125</v>
      </c>
      <c r="D142" s="17" t="s">
        <v>572</v>
      </c>
      <c r="E142" s="17" t="s">
        <v>572</v>
      </c>
      <c r="F142" s="17" t="s">
        <v>54</v>
      </c>
      <c r="G142" s="17" t="s">
        <v>55</v>
      </c>
      <c r="H142" s="17"/>
      <c r="I142" s="17"/>
      <c r="J142" s="17"/>
      <c r="K142" s="17" t="s">
        <v>1126</v>
      </c>
      <c r="L142" s="108" t="s">
        <v>1127</v>
      </c>
      <c r="M142" s="108" t="s">
        <v>692</v>
      </c>
    </row>
    <row r="143" spans="1:13" ht="90" x14ac:dyDescent="0.25">
      <c r="A143" s="17" t="s">
        <v>1128</v>
      </c>
      <c r="B143" s="17" t="s">
        <v>1129</v>
      </c>
      <c r="C143" s="133" t="s">
        <v>1130</v>
      </c>
      <c r="D143" s="17" t="s">
        <v>572</v>
      </c>
      <c r="E143" s="17" t="s">
        <v>572</v>
      </c>
      <c r="F143" s="17" t="s">
        <v>54</v>
      </c>
      <c r="G143" s="17" t="s">
        <v>55</v>
      </c>
      <c r="H143" s="17"/>
      <c r="I143" s="17"/>
      <c r="J143" s="17"/>
      <c r="K143" s="17" t="s">
        <v>1131</v>
      </c>
      <c r="L143" s="108" t="s">
        <v>1132</v>
      </c>
      <c r="M143" s="108" t="s">
        <v>692</v>
      </c>
    </row>
    <row r="144" spans="1:13" ht="150" x14ac:dyDescent="0.25">
      <c r="A144" s="17" t="s">
        <v>1133</v>
      </c>
      <c r="B144" s="17" t="s">
        <v>1134</v>
      </c>
      <c r="C144" s="133" t="s">
        <v>1135</v>
      </c>
      <c r="D144" s="17" t="s">
        <v>572</v>
      </c>
      <c r="E144" s="17" t="s">
        <v>572</v>
      </c>
      <c r="F144" s="17" t="s">
        <v>54</v>
      </c>
      <c r="G144" s="17" t="s">
        <v>55</v>
      </c>
      <c r="H144" s="17"/>
      <c r="I144" s="17"/>
      <c r="J144" s="17"/>
      <c r="K144" s="17" t="s">
        <v>707</v>
      </c>
      <c r="L144" s="108" t="s">
        <v>1136</v>
      </c>
      <c r="M144" s="108" t="s">
        <v>1137</v>
      </c>
    </row>
    <row r="145" spans="1:13" ht="165" x14ac:dyDescent="0.25">
      <c r="A145" s="17" t="s">
        <v>1138</v>
      </c>
      <c r="B145" s="17" t="s">
        <v>1139</v>
      </c>
      <c r="C145" s="133" t="s">
        <v>1140</v>
      </c>
      <c r="D145" s="17" t="s">
        <v>572</v>
      </c>
      <c r="E145" s="17" t="s">
        <v>572</v>
      </c>
      <c r="F145" s="17" t="s">
        <v>54</v>
      </c>
      <c r="G145" s="17" t="s">
        <v>55</v>
      </c>
      <c r="H145" s="17"/>
      <c r="I145" s="17"/>
      <c r="J145" s="17"/>
      <c r="K145" s="17" t="s">
        <v>1141</v>
      </c>
      <c r="L145" s="108" t="s">
        <v>1142</v>
      </c>
      <c r="M145" s="108" t="s">
        <v>692</v>
      </c>
    </row>
    <row r="146" spans="1:13" ht="150" x14ac:dyDescent="0.25">
      <c r="A146" s="17" t="s">
        <v>1143</v>
      </c>
      <c r="B146" s="17" t="s">
        <v>1144</v>
      </c>
      <c r="C146" s="133" t="s">
        <v>1145</v>
      </c>
      <c r="D146" s="17" t="s">
        <v>572</v>
      </c>
      <c r="E146" s="17" t="s">
        <v>572</v>
      </c>
      <c r="F146" s="17" t="s">
        <v>54</v>
      </c>
      <c r="G146" s="17" t="s">
        <v>55</v>
      </c>
      <c r="H146" s="17"/>
      <c r="I146" s="17"/>
      <c r="J146" s="17"/>
      <c r="K146" s="17" t="s">
        <v>373</v>
      </c>
      <c r="L146" s="108" t="s">
        <v>1146</v>
      </c>
      <c r="M146" s="108" t="s">
        <v>720</v>
      </c>
    </row>
  </sheetData>
  <autoFilter ref="A15:M146" xr:uid="{6C023B43-894E-4280-8D93-C030E842C668}"/>
  <phoneticPr fontId="24" type="noConversion"/>
  <pageMargins left="0.7" right="0.7" top="0.75" bottom="0.75" header="0.3" footer="0.3"/>
  <pageSetup orientation="portrait" r:id="rId1"/>
  <headerFooter>
    <oddFooter>&amp;L&amp;1#&amp;"Calibri"&amp;10&amp;K000000Internal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DDBCD-A1C5-48B8-A95A-1D86AAF4BD68}">
  <sheetPr filterMode="1">
    <tabColor rgb="FF92D050"/>
  </sheetPr>
  <dimension ref="A1:P74"/>
  <sheetViews>
    <sheetView topLeftCell="D1" zoomScale="98" zoomScaleNormal="98" workbookViewId="0">
      <selection activeCell="O4" sqref="O4"/>
    </sheetView>
  </sheetViews>
  <sheetFormatPr defaultColWidth="8.85546875" defaultRowHeight="15" x14ac:dyDescent="0.25"/>
  <cols>
    <col min="1" max="1" width="9.42578125" style="69" customWidth="1"/>
    <col min="2" max="2" width="20" style="24" customWidth="1"/>
    <col min="3" max="3" width="30.42578125" style="24" customWidth="1"/>
    <col min="4" max="4" width="20.85546875" style="70" customWidth="1"/>
    <col min="5" max="5" width="18.140625" style="70" bestFit="1" customWidth="1"/>
    <col min="6" max="6" width="15.5703125" style="70" bestFit="1" customWidth="1"/>
    <col min="7" max="7" width="28" style="24" bestFit="1" customWidth="1"/>
    <col min="8" max="13" width="13.28515625" style="24" customWidth="1"/>
    <col min="14" max="14" width="18.140625" style="69" bestFit="1" customWidth="1"/>
    <col min="15" max="15" width="32.28515625" style="24" customWidth="1"/>
    <col min="16" max="16" width="15.42578125" style="24" customWidth="1"/>
    <col min="17" max="17" width="11.42578125" style="24" customWidth="1"/>
    <col min="18" max="16384" width="8.85546875" style="24"/>
  </cols>
  <sheetData>
    <row r="1" spans="1:16" s="64" customFormat="1" x14ac:dyDescent="0.25">
      <c r="A1" s="99" t="s">
        <v>183</v>
      </c>
      <c r="D1" s="100"/>
      <c r="E1" s="100"/>
      <c r="F1" s="100"/>
    </row>
    <row r="2" spans="1:16" s="64" customFormat="1" x14ac:dyDescent="0.25">
      <c r="A2" s="101" t="s">
        <v>184</v>
      </c>
      <c r="D2" s="100"/>
      <c r="E2" s="100"/>
      <c r="F2" s="100"/>
    </row>
    <row r="3" spans="1:16" s="64" customFormat="1" x14ac:dyDescent="0.25">
      <c r="A3" s="101"/>
      <c r="D3" s="100"/>
      <c r="E3" s="100"/>
      <c r="F3" s="100"/>
      <c r="O3" s="64" t="s">
        <v>185</v>
      </c>
    </row>
    <row r="5" spans="1:16" s="14" customFormat="1" ht="76.5" x14ac:dyDescent="0.25">
      <c r="A5" s="95" t="s">
        <v>0</v>
      </c>
      <c r="B5" s="95" t="s">
        <v>1</v>
      </c>
      <c r="C5" s="95" t="s">
        <v>186</v>
      </c>
      <c r="D5" s="95" t="s">
        <v>187</v>
      </c>
      <c r="E5" s="95" t="s">
        <v>2</v>
      </c>
      <c r="F5" s="95" t="s">
        <v>3</v>
      </c>
      <c r="G5" s="95" t="s">
        <v>4</v>
      </c>
      <c r="H5" s="95" t="s">
        <v>188</v>
      </c>
      <c r="I5" s="95" t="s">
        <v>189</v>
      </c>
      <c r="J5" s="95" t="s">
        <v>365</v>
      </c>
      <c r="K5" s="95" t="s">
        <v>366</v>
      </c>
      <c r="L5" s="95" t="s">
        <v>367</v>
      </c>
      <c r="M5" s="95" t="s">
        <v>368</v>
      </c>
      <c r="N5" s="96" t="s">
        <v>192</v>
      </c>
      <c r="O5" s="96" t="s">
        <v>193</v>
      </c>
      <c r="P5" s="96" t="s">
        <v>194</v>
      </c>
    </row>
    <row r="6" spans="1:16" ht="124.9" customHeight="1" x14ac:dyDescent="0.25">
      <c r="A6" s="97" t="s">
        <v>5</v>
      </c>
      <c r="B6" s="97" t="s">
        <v>6</v>
      </c>
      <c r="C6" s="97" t="s">
        <v>195</v>
      </c>
      <c r="D6" s="97" t="s">
        <v>196</v>
      </c>
      <c r="E6" s="97" t="str">
        <f t="shared" ref="E6:E37" si="0">IF(D6="","",TRIM(IFERROR(_xlfn.TEXTBEFORE(D6,","),D6)))</f>
        <v>Heath Novak</v>
      </c>
      <c r="F6" s="97" t="s">
        <v>7</v>
      </c>
      <c r="G6" s="97" t="s">
        <v>8</v>
      </c>
      <c r="H6" s="97" t="s">
        <v>197</v>
      </c>
      <c r="I6" s="97" t="s">
        <v>198</v>
      </c>
      <c r="J6" s="97"/>
      <c r="K6" s="97"/>
      <c r="L6" s="97"/>
      <c r="M6" s="97"/>
      <c r="N6" s="97" t="s">
        <v>199</v>
      </c>
      <c r="O6" s="97" t="s">
        <v>200</v>
      </c>
    </row>
    <row r="7" spans="1:16" ht="71.25" customHeight="1" x14ac:dyDescent="0.25">
      <c r="A7" s="97" t="s">
        <v>9</v>
      </c>
      <c r="B7" s="97" t="s">
        <v>10</v>
      </c>
      <c r="C7" s="97" t="s">
        <v>201</v>
      </c>
      <c r="D7" s="97" t="s">
        <v>202</v>
      </c>
      <c r="E7" s="97" t="str">
        <f t="shared" si="0"/>
        <v>Jelena Cokorilo</v>
      </c>
      <c r="F7" s="97" t="s">
        <v>7</v>
      </c>
      <c r="G7" s="97" t="s">
        <v>11</v>
      </c>
      <c r="H7" s="97"/>
      <c r="I7" s="97"/>
      <c r="J7" s="97"/>
      <c r="K7" s="97"/>
      <c r="L7" s="97"/>
      <c r="M7" s="97"/>
      <c r="N7" s="97" t="s">
        <v>199</v>
      </c>
      <c r="O7" s="97"/>
    </row>
    <row r="8" spans="1:16" ht="186" customHeight="1" x14ac:dyDescent="0.25">
      <c r="A8" s="97" t="s">
        <v>12</v>
      </c>
      <c r="B8" s="97" t="s">
        <v>13</v>
      </c>
      <c r="C8" s="97" t="s">
        <v>203</v>
      </c>
      <c r="D8" s="97" t="s">
        <v>204</v>
      </c>
      <c r="E8" s="97" t="str">
        <f t="shared" si="0"/>
        <v>Nitassa Upal</v>
      </c>
      <c r="F8" s="97" t="s">
        <v>14</v>
      </c>
      <c r="G8" s="97" t="s">
        <v>15</v>
      </c>
      <c r="H8" s="97" t="s">
        <v>205</v>
      </c>
      <c r="I8" s="97" t="s">
        <v>206</v>
      </c>
      <c r="J8" s="97"/>
      <c r="K8" s="97"/>
      <c r="L8" s="97"/>
      <c r="M8" s="97"/>
      <c r="N8" s="97" t="s">
        <v>199</v>
      </c>
      <c r="O8" s="97"/>
    </row>
    <row r="9" spans="1:16" ht="150" x14ac:dyDescent="0.25">
      <c r="A9" s="97" t="s">
        <v>16</v>
      </c>
      <c r="B9" s="97" t="s">
        <v>17</v>
      </c>
      <c r="C9" s="97" t="s">
        <v>207</v>
      </c>
      <c r="D9" s="97" t="s">
        <v>208</v>
      </c>
      <c r="E9" s="97" t="str">
        <f t="shared" si="0"/>
        <v>Heath Novak</v>
      </c>
      <c r="F9" s="97" t="s">
        <v>7</v>
      </c>
      <c r="G9" s="97" t="s">
        <v>8</v>
      </c>
      <c r="H9" s="97" t="s">
        <v>209</v>
      </c>
      <c r="I9" s="97" t="s">
        <v>210</v>
      </c>
      <c r="J9" s="97"/>
      <c r="K9" s="97"/>
      <c r="L9" s="97"/>
      <c r="M9" s="97"/>
      <c r="N9" s="97" t="s">
        <v>199</v>
      </c>
      <c r="O9" s="97" t="s">
        <v>211</v>
      </c>
    </row>
    <row r="10" spans="1:16" ht="150" x14ac:dyDescent="0.25">
      <c r="A10" s="97" t="s">
        <v>18</v>
      </c>
      <c r="B10" s="97" t="s">
        <v>19</v>
      </c>
      <c r="C10" s="97" t="s">
        <v>212</v>
      </c>
      <c r="D10" s="97" t="s">
        <v>213</v>
      </c>
      <c r="E10" s="97" t="str">
        <f t="shared" si="0"/>
        <v>Mimi Xue</v>
      </c>
      <c r="F10" s="97" t="s">
        <v>14</v>
      </c>
      <c r="G10" s="97" t="s">
        <v>20</v>
      </c>
      <c r="H10" s="97" t="s">
        <v>214</v>
      </c>
      <c r="I10" s="97" t="s">
        <v>215</v>
      </c>
      <c r="J10" s="97"/>
      <c r="K10" s="97"/>
      <c r="L10" s="97"/>
      <c r="M10" s="97"/>
      <c r="N10" s="97" t="s">
        <v>199</v>
      </c>
      <c r="O10" s="97"/>
    </row>
    <row r="11" spans="1:16" ht="57.75" customHeight="1" x14ac:dyDescent="0.25">
      <c r="A11" s="97" t="s">
        <v>21</v>
      </c>
      <c r="B11" s="97" t="s">
        <v>22</v>
      </c>
      <c r="C11" s="97" t="s">
        <v>216</v>
      </c>
      <c r="D11" s="97" t="s">
        <v>217</v>
      </c>
      <c r="E11" s="97" t="str">
        <f t="shared" si="0"/>
        <v>Mimi Xue</v>
      </c>
      <c r="F11" s="97" t="s">
        <v>14</v>
      </c>
      <c r="G11" s="97" t="s">
        <v>23</v>
      </c>
      <c r="H11" s="97" t="s">
        <v>218</v>
      </c>
      <c r="I11" s="97" t="s">
        <v>219</v>
      </c>
      <c r="J11" s="97"/>
      <c r="K11" s="97"/>
      <c r="L11" s="97"/>
      <c r="M11" s="97"/>
      <c r="N11" s="97" t="s">
        <v>199</v>
      </c>
      <c r="O11" s="97"/>
    </row>
    <row r="12" spans="1:16" ht="90" x14ac:dyDescent="0.25">
      <c r="A12" s="97" t="s">
        <v>24</v>
      </c>
      <c r="B12" s="97" t="s">
        <v>25</v>
      </c>
      <c r="C12" s="97" t="s">
        <v>220</v>
      </c>
      <c r="D12" s="97" t="s">
        <v>26</v>
      </c>
      <c r="E12" s="97" t="str">
        <f t="shared" si="0"/>
        <v>Mark Desautels</v>
      </c>
      <c r="F12" s="97" t="s">
        <v>27</v>
      </c>
      <c r="G12" s="97" t="s">
        <v>28</v>
      </c>
      <c r="H12" s="97" t="s">
        <v>221</v>
      </c>
      <c r="I12" s="97"/>
      <c r="J12" s="97"/>
      <c r="K12" s="97"/>
      <c r="L12" s="97"/>
      <c r="M12" s="97"/>
      <c r="N12" s="97" t="s">
        <v>199</v>
      </c>
      <c r="O12" s="97"/>
    </row>
    <row r="13" spans="1:16" ht="180" x14ac:dyDescent="0.25">
      <c r="A13" s="97" t="s">
        <v>29</v>
      </c>
      <c r="B13" s="97" t="s">
        <v>30</v>
      </c>
      <c r="C13" s="97" t="s">
        <v>222</v>
      </c>
      <c r="D13" s="97" t="s">
        <v>223</v>
      </c>
      <c r="E13" s="97" t="str">
        <f t="shared" si="0"/>
        <v>David Burrows</v>
      </c>
      <c r="F13" s="97" t="s">
        <v>31</v>
      </c>
      <c r="G13" s="97" t="s">
        <v>32</v>
      </c>
      <c r="H13" s="97" t="s">
        <v>224</v>
      </c>
      <c r="I13" s="97" t="s">
        <v>225</v>
      </c>
      <c r="J13" s="97"/>
      <c r="K13" s="97"/>
      <c r="L13" s="97"/>
      <c r="M13" s="97"/>
      <c r="N13" s="97" t="s">
        <v>226</v>
      </c>
      <c r="O13" s="97"/>
    </row>
    <row r="14" spans="1:16" ht="120" x14ac:dyDescent="0.25">
      <c r="A14" s="97" t="s">
        <v>33</v>
      </c>
      <c r="B14" s="97" t="s">
        <v>34</v>
      </c>
      <c r="C14" s="97" t="s">
        <v>227</v>
      </c>
      <c r="D14" s="97" t="s">
        <v>223</v>
      </c>
      <c r="E14" s="97" t="str">
        <f t="shared" si="0"/>
        <v>David Burrows</v>
      </c>
      <c r="F14" s="97" t="s">
        <v>31</v>
      </c>
      <c r="G14" s="97" t="s">
        <v>32</v>
      </c>
      <c r="H14" s="97"/>
      <c r="I14" s="97" t="s">
        <v>228</v>
      </c>
      <c r="J14" s="97"/>
      <c r="K14" s="97"/>
      <c r="L14" s="97"/>
      <c r="M14" s="97"/>
      <c r="N14" s="97" t="s">
        <v>226</v>
      </c>
      <c r="O14" s="97"/>
    </row>
    <row r="15" spans="1:16" ht="60" customHeight="1" x14ac:dyDescent="0.25">
      <c r="A15" s="97" t="s">
        <v>35</v>
      </c>
      <c r="B15" s="97" t="s">
        <v>36</v>
      </c>
      <c r="C15" s="97" t="s">
        <v>229</v>
      </c>
      <c r="D15" s="97" t="s">
        <v>230</v>
      </c>
      <c r="E15" s="97" t="str">
        <f t="shared" si="0"/>
        <v>Chris MacLaren</v>
      </c>
      <c r="F15" s="97" t="s">
        <v>37</v>
      </c>
      <c r="G15" s="97" t="s">
        <v>38</v>
      </c>
      <c r="H15" s="97"/>
      <c r="I15" s="97" t="s">
        <v>231</v>
      </c>
      <c r="J15" s="97"/>
      <c r="K15" s="97"/>
      <c r="L15" s="97"/>
      <c r="M15" s="97"/>
      <c r="N15" s="97" t="s">
        <v>226</v>
      </c>
      <c r="O15" s="97"/>
    </row>
    <row r="16" spans="1:16" ht="45" x14ac:dyDescent="0.25">
      <c r="A16" s="97" t="s">
        <v>39</v>
      </c>
      <c r="B16" s="97" t="s">
        <v>40</v>
      </c>
      <c r="C16" s="97" t="s">
        <v>232</v>
      </c>
      <c r="D16" s="97" t="s">
        <v>41</v>
      </c>
      <c r="E16" s="97" t="str">
        <f t="shared" si="0"/>
        <v>Gregory Stoeckl</v>
      </c>
      <c r="F16" s="97" t="s">
        <v>37</v>
      </c>
      <c r="G16" s="97" t="s">
        <v>38</v>
      </c>
      <c r="H16" s="97" t="s">
        <v>233</v>
      </c>
      <c r="I16" s="97" t="s">
        <v>234</v>
      </c>
      <c r="J16" s="97"/>
      <c r="K16" s="97"/>
      <c r="L16" s="97"/>
      <c r="M16" s="97"/>
      <c r="N16" s="97" t="s">
        <v>199</v>
      </c>
      <c r="O16" s="97"/>
    </row>
    <row r="17" spans="1:15" ht="45" x14ac:dyDescent="0.25">
      <c r="A17" s="97" t="s">
        <v>42</v>
      </c>
      <c r="B17" s="97" t="s">
        <v>43</v>
      </c>
      <c r="C17" s="97" t="s">
        <v>235</v>
      </c>
      <c r="D17" s="97" t="s">
        <v>41</v>
      </c>
      <c r="E17" s="97" t="str">
        <f t="shared" si="0"/>
        <v>Gregory Stoeckl</v>
      </c>
      <c r="F17" s="97" t="s">
        <v>37</v>
      </c>
      <c r="G17" s="97" t="s">
        <v>38</v>
      </c>
      <c r="H17" s="97" t="s">
        <v>236</v>
      </c>
      <c r="I17" s="97" t="s">
        <v>237</v>
      </c>
      <c r="J17" s="97"/>
      <c r="K17" s="97"/>
      <c r="L17" s="97"/>
      <c r="M17" s="97"/>
      <c r="N17" s="97" t="s">
        <v>199</v>
      </c>
      <c r="O17" s="97"/>
    </row>
    <row r="18" spans="1:15" ht="45" x14ac:dyDescent="0.25">
      <c r="A18" s="97" t="s">
        <v>44</v>
      </c>
      <c r="B18" s="97" t="s">
        <v>45</v>
      </c>
      <c r="C18" s="97" t="s">
        <v>238</v>
      </c>
      <c r="D18" s="97" t="s">
        <v>41</v>
      </c>
      <c r="E18" s="97" t="str">
        <f t="shared" si="0"/>
        <v>Gregory Stoeckl</v>
      </c>
      <c r="F18" s="97" t="s">
        <v>37</v>
      </c>
      <c r="G18" s="97" t="s">
        <v>38</v>
      </c>
      <c r="H18" s="97" t="s">
        <v>233</v>
      </c>
      <c r="I18" s="97" t="s">
        <v>239</v>
      </c>
      <c r="J18" s="97"/>
      <c r="K18" s="97"/>
      <c r="L18" s="97"/>
      <c r="M18" s="97"/>
      <c r="N18" s="97" t="s">
        <v>199</v>
      </c>
      <c r="O18" s="97"/>
    </row>
    <row r="19" spans="1:15" ht="40.5" customHeight="1" x14ac:dyDescent="0.25">
      <c r="A19" s="97" t="s">
        <v>46</v>
      </c>
      <c r="B19" s="97" t="s">
        <v>47</v>
      </c>
      <c r="C19" s="97" t="s">
        <v>240</v>
      </c>
      <c r="D19" s="97" t="s">
        <v>230</v>
      </c>
      <c r="E19" s="97" t="str">
        <f t="shared" si="0"/>
        <v>Chris MacLaren</v>
      </c>
      <c r="F19" s="97" t="s">
        <v>37</v>
      </c>
      <c r="G19" s="97" t="s">
        <v>38</v>
      </c>
      <c r="H19" s="97"/>
      <c r="I19" s="97" t="s">
        <v>241</v>
      </c>
      <c r="J19" s="97"/>
      <c r="K19" s="97"/>
      <c r="L19" s="97"/>
      <c r="M19" s="97"/>
      <c r="N19" s="97" t="s">
        <v>199</v>
      </c>
      <c r="O19" s="97"/>
    </row>
    <row r="20" spans="1:15" ht="45" x14ac:dyDescent="0.25">
      <c r="A20" s="97" t="s">
        <v>48</v>
      </c>
      <c r="B20" s="97" t="s">
        <v>49</v>
      </c>
      <c r="C20" s="97" t="s">
        <v>242</v>
      </c>
      <c r="D20" s="97" t="s">
        <v>41</v>
      </c>
      <c r="E20" s="97" t="str">
        <f t="shared" si="0"/>
        <v>Gregory Stoeckl</v>
      </c>
      <c r="F20" s="97" t="s">
        <v>37</v>
      </c>
      <c r="G20" s="97" t="s">
        <v>38</v>
      </c>
      <c r="H20" s="97" t="s">
        <v>233</v>
      </c>
      <c r="I20" s="97" t="s">
        <v>243</v>
      </c>
      <c r="J20" s="97"/>
      <c r="K20" s="97"/>
      <c r="L20" s="97"/>
      <c r="M20" s="97"/>
      <c r="N20" s="97" t="s">
        <v>199</v>
      </c>
      <c r="O20" s="97"/>
    </row>
    <row r="21" spans="1:15" ht="45" x14ac:dyDescent="0.25">
      <c r="A21" s="97" t="s">
        <v>50</v>
      </c>
      <c r="B21" s="97" t="s">
        <v>51</v>
      </c>
      <c r="C21" s="97" t="s">
        <v>244</v>
      </c>
      <c r="D21" s="97" t="s">
        <v>230</v>
      </c>
      <c r="E21" s="97" t="str">
        <f t="shared" si="0"/>
        <v>Chris MacLaren</v>
      </c>
      <c r="F21" s="97" t="s">
        <v>37</v>
      </c>
      <c r="G21" s="97" t="s">
        <v>38</v>
      </c>
      <c r="H21" s="97"/>
      <c r="I21" s="97" t="s">
        <v>245</v>
      </c>
      <c r="J21" s="97"/>
      <c r="K21" s="97"/>
      <c r="L21" s="97"/>
      <c r="M21" s="97"/>
      <c r="N21" s="97" t="s">
        <v>226</v>
      </c>
      <c r="O21" s="97"/>
    </row>
    <row r="22" spans="1:15" ht="210" hidden="1" x14ac:dyDescent="0.25">
      <c r="A22" s="97" t="s">
        <v>52</v>
      </c>
      <c r="B22" s="97" t="s">
        <v>53</v>
      </c>
      <c r="C22" s="97" t="s">
        <v>246</v>
      </c>
      <c r="D22" s="97" t="s">
        <v>247</v>
      </c>
      <c r="E22" s="97" t="str">
        <f t="shared" si="0"/>
        <v>Jason Le</v>
      </c>
      <c r="F22" s="97" t="s">
        <v>54</v>
      </c>
      <c r="G22" s="97" t="s">
        <v>55</v>
      </c>
      <c r="H22" s="97" t="s">
        <v>248</v>
      </c>
      <c r="I22" s="97"/>
      <c r="J22" s="97"/>
      <c r="K22" s="97"/>
      <c r="L22" s="97"/>
      <c r="M22" s="97"/>
      <c r="N22" s="97" t="s">
        <v>199</v>
      </c>
      <c r="O22" s="97"/>
    </row>
    <row r="23" spans="1:15" ht="225" hidden="1" x14ac:dyDescent="0.25">
      <c r="A23" s="97" t="s">
        <v>56</v>
      </c>
      <c r="B23" s="97" t="s">
        <v>57</v>
      </c>
      <c r="C23" s="97" t="s">
        <v>249</v>
      </c>
      <c r="D23" s="97" t="s">
        <v>58</v>
      </c>
      <c r="E23" s="97" t="str">
        <f t="shared" si="0"/>
        <v>Phil Vallee</v>
      </c>
      <c r="F23" s="97" t="s">
        <v>54</v>
      </c>
      <c r="G23" s="97" t="s">
        <v>55</v>
      </c>
      <c r="H23" s="97"/>
      <c r="I23" s="97"/>
      <c r="J23" s="97"/>
      <c r="K23" s="97"/>
      <c r="L23" s="97"/>
      <c r="M23" s="97"/>
      <c r="N23" s="97" t="s">
        <v>199</v>
      </c>
      <c r="O23" s="97"/>
    </row>
    <row r="24" spans="1:15" ht="135" hidden="1" x14ac:dyDescent="0.25">
      <c r="A24" s="97" t="s">
        <v>59</v>
      </c>
      <c r="B24" s="97" t="s">
        <v>60</v>
      </c>
      <c r="C24" s="97" t="s">
        <v>250</v>
      </c>
      <c r="D24" s="97" t="s">
        <v>61</v>
      </c>
      <c r="E24" s="97" t="str">
        <f t="shared" si="0"/>
        <v>Sunil Thomas</v>
      </c>
      <c r="F24" s="97" t="s">
        <v>54</v>
      </c>
      <c r="G24" s="97" t="s">
        <v>55</v>
      </c>
      <c r="H24" s="97"/>
      <c r="I24" s="97"/>
      <c r="J24" s="97"/>
      <c r="K24" s="97"/>
      <c r="L24" s="97"/>
      <c r="M24" s="97"/>
      <c r="N24" s="97" t="s">
        <v>199</v>
      </c>
      <c r="O24" s="97"/>
    </row>
    <row r="25" spans="1:15" ht="255" hidden="1" x14ac:dyDescent="0.25">
      <c r="A25" s="97" t="s">
        <v>62</v>
      </c>
      <c r="B25" s="97" t="s">
        <v>63</v>
      </c>
      <c r="C25" s="97" t="s">
        <v>251</v>
      </c>
      <c r="D25" s="97" t="s">
        <v>252</v>
      </c>
      <c r="E25" s="97" t="str">
        <f t="shared" si="0"/>
        <v>Beverley Smyk</v>
      </c>
      <c r="F25" s="97" t="s">
        <v>54</v>
      </c>
      <c r="G25" s="97" t="s">
        <v>55</v>
      </c>
      <c r="H25" s="97"/>
      <c r="I25" s="97"/>
      <c r="J25" s="97"/>
      <c r="K25" s="97"/>
      <c r="L25" s="97"/>
      <c r="M25" s="97"/>
      <c r="N25" s="97" t="s">
        <v>199</v>
      </c>
      <c r="O25" s="97"/>
    </row>
    <row r="26" spans="1:15" ht="240" hidden="1" x14ac:dyDescent="0.25">
      <c r="A26" s="97" t="s">
        <v>65</v>
      </c>
      <c r="B26" s="97" t="s">
        <v>66</v>
      </c>
      <c r="C26" s="97" t="s">
        <v>253</v>
      </c>
      <c r="D26" s="97" t="s">
        <v>61</v>
      </c>
      <c r="E26" s="97" t="str">
        <f t="shared" si="0"/>
        <v>Sunil Thomas</v>
      </c>
      <c r="F26" s="97" t="s">
        <v>54</v>
      </c>
      <c r="G26" s="97" t="s">
        <v>55</v>
      </c>
      <c r="H26" s="97"/>
      <c r="I26" s="97"/>
      <c r="J26" s="97"/>
      <c r="K26" s="97"/>
      <c r="L26" s="97"/>
      <c r="M26" s="97"/>
      <c r="N26" s="97" t="s">
        <v>199</v>
      </c>
      <c r="O26" s="97"/>
    </row>
    <row r="27" spans="1:15" ht="120" hidden="1" x14ac:dyDescent="0.25">
      <c r="A27" s="97" t="s">
        <v>67</v>
      </c>
      <c r="B27" s="97" t="s">
        <v>68</v>
      </c>
      <c r="C27" s="97" t="s">
        <v>254</v>
      </c>
      <c r="D27" s="97" t="s">
        <v>64</v>
      </c>
      <c r="E27" s="97" t="str">
        <f t="shared" si="0"/>
        <v>Beverley Smyk</v>
      </c>
      <c r="F27" s="97" t="s">
        <v>54</v>
      </c>
      <c r="G27" s="97" t="s">
        <v>55</v>
      </c>
      <c r="H27" s="97"/>
      <c r="I27" s="97"/>
      <c r="J27" s="97"/>
      <c r="K27" s="97"/>
      <c r="L27" s="97"/>
      <c r="M27" s="97"/>
      <c r="N27" s="97" t="s">
        <v>199</v>
      </c>
      <c r="O27" s="97"/>
    </row>
    <row r="28" spans="1:15" ht="51.75" hidden="1" customHeight="1" x14ac:dyDescent="0.25">
      <c r="A28" s="97" t="s">
        <v>69</v>
      </c>
      <c r="B28" s="97" t="s">
        <v>70</v>
      </c>
      <c r="C28" s="97" t="s">
        <v>255</v>
      </c>
      <c r="D28" s="97" t="s">
        <v>71</v>
      </c>
      <c r="E28" s="97" t="str">
        <f t="shared" si="0"/>
        <v>Dede Jawde</v>
      </c>
      <c r="F28" s="97" t="s">
        <v>54</v>
      </c>
      <c r="G28" s="97" t="s">
        <v>55</v>
      </c>
      <c r="H28" s="97"/>
      <c r="I28" s="97"/>
      <c r="J28" s="97"/>
      <c r="K28" s="97"/>
      <c r="L28" s="97"/>
      <c r="M28" s="97"/>
      <c r="N28" s="97" t="s">
        <v>199</v>
      </c>
      <c r="O28" s="97"/>
    </row>
    <row r="29" spans="1:15" ht="87" hidden="1" customHeight="1" x14ac:dyDescent="0.25">
      <c r="A29" s="97" t="s">
        <v>72</v>
      </c>
      <c r="B29" s="97" t="s">
        <v>73</v>
      </c>
      <c r="C29" s="97" t="s">
        <v>256</v>
      </c>
      <c r="D29" s="97" t="s">
        <v>74</v>
      </c>
      <c r="E29" s="97" t="str">
        <f t="shared" si="0"/>
        <v>Jarrod Hakker</v>
      </c>
      <c r="F29" s="97" t="s">
        <v>54</v>
      </c>
      <c r="G29" s="97" t="s">
        <v>55</v>
      </c>
      <c r="H29" s="97"/>
      <c r="I29" s="97"/>
      <c r="J29" s="97"/>
      <c r="K29" s="97"/>
      <c r="L29" s="97"/>
      <c r="M29" s="97"/>
      <c r="N29" s="97" t="s">
        <v>199</v>
      </c>
      <c r="O29" s="97"/>
    </row>
    <row r="30" spans="1:15" ht="150" hidden="1" x14ac:dyDescent="0.25">
      <c r="A30" s="97" t="s">
        <v>75</v>
      </c>
      <c r="B30" s="97" t="s">
        <v>76</v>
      </c>
      <c r="C30" s="97" t="s">
        <v>256</v>
      </c>
      <c r="D30" s="97" t="s">
        <v>77</v>
      </c>
      <c r="E30" s="97" t="str">
        <f t="shared" si="0"/>
        <v>Deirdre Grier (Ireland)</v>
      </c>
      <c r="F30" s="97" t="s">
        <v>54</v>
      </c>
      <c r="G30" s="97" t="s">
        <v>55</v>
      </c>
      <c r="H30" s="97"/>
      <c r="I30" s="97"/>
      <c r="J30" s="97"/>
      <c r="K30" s="97"/>
      <c r="L30" s="97"/>
      <c r="M30" s="97"/>
      <c r="N30" s="97" t="s">
        <v>199</v>
      </c>
      <c r="O30" s="97"/>
    </row>
    <row r="31" spans="1:15" ht="150" hidden="1" x14ac:dyDescent="0.25">
      <c r="A31" s="97" t="s">
        <v>78</v>
      </c>
      <c r="B31" s="97" t="s">
        <v>79</v>
      </c>
      <c r="C31" s="97" t="s">
        <v>256</v>
      </c>
      <c r="D31" s="97" t="s">
        <v>257</v>
      </c>
      <c r="E31" s="97" t="str">
        <f t="shared" si="0"/>
        <v>Mavis Chan</v>
      </c>
      <c r="F31" s="97" t="s">
        <v>54</v>
      </c>
      <c r="G31" s="97" t="s">
        <v>55</v>
      </c>
      <c r="H31" s="97"/>
      <c r="I31" s="97"/>
      <c r="J31" s="97"/>
      <c r="K31" s="97"/>
      <c r="L31" s="97"/>
      <c r="M31" s="97"/>
      <c r="N31" s="97" t="s">
        <v>199</v>
      </c>
      <c r="O31" s="97"/>
    </row>
    <row r="32" spans="1:15" ht="86.65" hidden="1" customHeight="1" x14ac:dyDescent="0.25">
      <c r="A32" s="97" t="s">
        <v>80</v>
      </c>
      <c r="B32" s="97" t="s">
        <v>81</v>
      </c>
      <c r="C32" s="97" t="s">
        <v>258</v>
      </c>
      <c r="D32" s="97" t="s">
        <v>259</v>
      </c>
      <c r="E32" s="97" t="str">
        <f t="shared" si="0"/>
        <v>Beverley Smyk</v>
      </c>
      <c r="F32" s="97" t="s">
        <v>54</v>
      </c>
      <c r="G32" s="97" t="s">
        <v>55</v>
      </c>
      <c r="H32" s="97"/>
      <c r="I32" s="97"/>
      <c r="J32" s="97"/>
      <c r="K32" s="97"/>
      <c r="L32" s="97"/>
      <c r="M32" s="97"/>
      <c r="N32" s="97" t="s">
        <v>199</v>
      </c>
      <c r="O32" s="97"/>
    </row>
    <row r="33" spans="1:15" ht="75" hidden="1" x14ac:dyDescent="0.25">
      <c r="A33" s="97" t="s">
        <v>82</v>
      </c>
      <c r="B33" s="97" t="s">
        <v>83</v>
      </c>
      <c r="C33" s="97" t="s">
        <v>260</v>
      </c>
      <c r="D33" s="97" t="s">
        <v>71</v>
      </c>
      <c r="E33" s="97" t="str">
        <f t="shared" si="0"/>
        <v>Dede Jawde</v>
      </c>
      <c r="F33" s="97" t="s">
        <v>54</v>
      </c>
      <c r="G33" s="97" t="s">
        <v>55</v>
      </c>
      <c r="H33" s="97"/>
      <c r="I33" s="97"/>
      <c r="J33" s="97"/>
      <c r="K33" s="97"/>
      <c r="L33" s="97"/>
      <c r="M33" s="97"/>
      <c r="N33" s="97" t="s">
        <v>199</v>
      </c>
      <c r="O33" s="97"/>
    </row>
    <row r="34" spans="1:15" ht="60" hidden="1" x14ac:dyDescent="0.25">
      <c r="A34" s="97" t="s">
        <v>84</v>
      </c>
      <c r="B34" s="97" t="s">
        <v>85</v>
      </c>
      <c r="C34" s="97" t="s">
        <v>261</v>
      </c>
      <c r="D34" s="97" t="s">
        <v>74</v>
      </c>
      <c r="E34" s="97" t="str">
        <f t="shared" si="0"/>
        <v>Jarrod Hakker</v>
      </c>
      <c r="F34" s="97" t="s">
        <v>54</v>
      </c>
      <c r="G34" s="97" t="s">
        <v>55</v>
      </c>
      <c r="H34" s="97"/>
      <c r="I34" s="97"/>
      <c r="J34" s="97"/>
      <c r="K34" s="97"/>
      <c r="L34" s="97"/>
      <c r="M34" s="97"/>
      <c r="N34" s="97" t="s">
        <v>199</v>
      </c>
      <c r="O34" s="97"/>
    </row>
    <row r="35" spans="1:15" ht="90" hidden="1" x14ac:dyDescent="0.25">
      <c r="A35" s="97" t="s">
        <v>86</v>
      </c>
      <c r="B35" s="97" t="s">
        <v>87</v>
      </c>
      <c r="C35" s="97" t="s">
        <v>262</v>
      </c>
      <c r="D35" s="97" t="s">
        <v>88</v>
      </c>
      <c r="E35" s="97" t="str">
        <f t="shared" si="0"/>
        <v>Emer Keating</v>
      </c>
      <c r="F35" s="97" t="s">
        <v>54</v>
      </c>
      <c r="G35" s="97" t="s">
        <v>55</v>
      </c>
      <c r="H35" s="97"/>
      <c r="I35" s="97"/>
      <c r="J35" s="97"/>
      <c r="K35" s="97"/>
      <c r="L35" s="97"/>
      <c r="M35" s="97"/>
      <c r="N35" s="97" t="s">
        <v>199</v>
      </c>
      <c r="O35" s="97"/>
    </row>
    <row r="36" spans="1:15" ht="60" hidden="1" x14ac:dyDescent="0.25">
      <c r="A36" s="97" t="s">
        <v>89</v>
      </c>
      <c r="B36" s="97" t="s">
        <v>90</v>
      </c>
      <c r="C36" s="97" t="s">
        <v>263</v>
      </c>
      <c r="D36" s="97" t="s">
        <v>91</v>
      </c>
      <c r="E36" s="97" t="str">
        <f t="shared" si="0"/>
        <v>Natarajan Hariharan</v>
      </c>
      <c r="F36" s="97" t="s">
        <v>54</v>
      </c>
      <c r="G36" s="97" t="s">
        <v>55</v>
      </c>
      <c r="H36" s="97"/>
      <c r="I36" s="97"/>
      <c r="J36" s="97"/>
      <c r="K36" s="97"/>
      <c r="L36" s="97"/>
      <c r="M36" s="97"/>
      <c r="N36" s="97" t="s">
        <v>199</v>
      </c>
      <c r="O36" s="97"/>
    </row>
    <row r="37" spans="1:15" ht="90" x14ac:dyDescent="0.25">
      <c r="A37" s="97" t="s">
        <v>92</v>
      </c>
      <c r="B37" s="97" t="s">
        <v>93</v>
      </c>
      <c r="C37" s="97" t="s">
        <v>264</v>
      </c>
      <c r="D37" s="97" t="s">
        <v>265</v>
      </c>
      <c r="E37" s="97" t="str">
        <f t="shared" si="0"/>
        <v>Sally Kwon</v>
      </c>
      <c r="F37" s="97" t="s">
        <v>94</v>
      </c>
      <c r="G37" s="97" t="s">
        <v>95</v>
      </c>
      <c r="H37" s="97" t="s">
        <v>266</v>
      </c>
      <c r="I37" s="97"/>
      <c r="J37" s="97"/>
      <c r="K37" s="97"/>
      <c r="L37" s="97"/>
      <c r="M37" s="97"/>
      <c r="N37" s="97" t="s">
        <v>199</v>
      </c>
      <c r="O37" s="97"/>
    </row>
    <row r="38" spans="1:15" ht="60" x14ac:dyDescent="0.25">
      <c r="A38" s="97" t="s">
        <v>96</v>
      </c>
      <c r="B38" s="97" t="s">
        <v>97</v>
      </c>
      <c r="C38" s="97" t="s">
        <v>267</v>
      </c>
      <c r="D38" s="97" t="s">
        <v>268</v>
      </c>
      <c r="E38" s="97" t="str">
        <f t="shared" ref="E38:E69" si="1">IF(D38="","",TRIM(IFERROR(_xlfn.TEXTBEFORE(D38,","),D38)))</f>
        <v>Sally Kwon</v>
      </c>
      <c r="F38" s="97" t="s">
        <v>94</v>
      </c>
      <c r="G38" s="97" t="s">
        <v>95</v>
      </c>
      <c r="H38" s="97" t="s">
        <v>269</v>
      </c>
      <c r="I38" s="97" t="s">
        <v>270</v>
      </c>
      <c r="J38" s="97"/>
      <c r="K38" s="97"/>
      <c r="L38" s="97"/>
      <c r="M38" s="97"/>
      <c r="N38" s="97" t="s">
        <v>199</v>
      </c>
      <c r="O38" s="97"/>
    </row>
    <row r="39" spans="1:15" ht="75" x14ac:dyDescent="0.25">
      <c r="A39" s="97" t="s">
        <v>98</v>
      </c>
      <c r="B39" s="97" t="s">
        <v>99</v>
      </c>
      <c r="C39" s="97" t="s">
        <v>271</v>
      </c>
      <c r="D39" s="97" t="s">
        <v>272</v>
      </c>
      <c r="E39" s="97" t="str">
        <f t="shared" si="1"/>
        <v>Yvonne Chang</v>
      </c>
      <c r="F39" s="97" t="s">
        <v>94</v>
      </c>
      <c r="G39" s="97" t="s">
        <v>95</v>
      </c>
      <c r="H39" s="97"/>
      <c r="I39" s="97" t="s">
        <v>273</v>
      </c>
      <c r="J39" s="97"/>
      <c r="K39" s="97"/>
      <c r="L39" s="97"/>
      <c r="M39" s="97"/>
      <c r="N39" s="97" t="s">
        <v>199</v>
      </c>
      <c r="O39" s="97"/>
    </row>
    <row r="40" spans="1:15" ht="259.89999999999998" customHeight="1" x14ac:dyDescent="0.25">
      <c r="A40" s="97" t="s">
        <v>100</v>
      </c>
      <c r="B40" s="97" t="s">
        <v>66</v>
      </c>
      <c r="C40" s="97" t="s">
        <v>274</v>
      </c>
      <c r="D40" s="97" t="s">
        <v>275</v>
      </c>
      <c r="E40" s="97" t="str">
        <f t="shared" si="1"/>
        <v>Yvonne Chang</v>
      </c>
      <c r="F40" s="97" t="s">
        <v>94</v>
      </c>
      <c r="G40" s="97" t="s">
        <v>95</v>
      </c>
      <c r="H40" s="97" t="s">
        <v>276</v>
      </c>
      <c r="I40" s="97" t="s">
        <v>277</v>
      </c>
      <c r="J40" s="97"/>
      <c r="K40" s="97"/>
      <c r="L40" s="97"/>
      <c r="M40" s="97"/>
      <c r="N40" s="97" t="s">
        <v>199</v>
      </c>
      <c r="O40" s="97"/>
    </row>
    <row r="41" spans="1:15" ht="43.15" customHeight="1" x14ac:dyDescent="0.25">
      <c r="A41" s="97" t="s">
        <v>101</v>
      </c>
      <c r="B41" s="97" t="s">
        <v>102</v>
      </c>
      <c r="C41" s="97" t="s">
        <v>278</v>
      </c>
      <c r="D41" s="97" t="s">
        <v>279</v>
      </c>
      <c r="E41" s="97" t="str">
        <f t="shared" si="1"/>
        <v>Yvonne Chang</v>
      </c>
      <c r="F41" s="97" t="s">
        <v>94</v>
      </c>
      <c r="G41" s="97" t="s">
        <v>95</v>
      </c>
      <c r="H41" s="97" t="s">
        <v>276</v>
      </c>
      <c r="I41" s="97"/>
      <c r="J41" s="97"/>
      <c r="K41" s="97"/>
      <c r="L41" s="97"/>
      <c r="M41" s="97"/>
      <c r="N41" s="97" t="s">
        <v>199</v>
      </c>
      <c r="O41" s="97"/>
    </row>
    <row r="42" spans="1:15" ht="90" x14ac:dyDescent="0.25">
      <c r="A42" s="97" t="s">
        <v>103</v>
      </c>
      <c r="B42" s="97" t="s">
        <v>104</v>
      </c>
      <c r="C42" s="97" t="s">
        <v>280</v>
      </c>
      <c r="D42" s="97" t="s">
        <v>105</v>
      </c>
      <c r="E42" s="97" t="str">
        <f t="shared" si="1"/>
        <v>Kevin Fabian</v>
      </c>
      <c r="F42" s="97" t="s">
        <v>94</v>
      </c>
      <c r="G42" s="97" t="s">
        <v>95</v>
      </c>
      <c r="H42" s="97"/>
      <c r="I42" s="97"/>
      <c r="J42" s="97"/>
      <c r="K42" s="97"/>
      <c r="L42" s="97"/>
      <c r="M42" s="97"/>
      <c r="N42" s="97" t="s">
        <v>199</v>
      </c>
      <c r="O42" s="97"/>
    </row>
    <row r="43" spans="1:15" ht="43.15" customHeight="1" x14ac:dyDescent="0.25">
      <c r="A43" s="97" t="s">
        <v>106</v>
      </c>
      <c r="B43" s="97" t="s">
        <v>107</v>
      </c>
      <c r="C43" s="97" t="s">
        <v>281</v>
      </c>
      <c r="D43" s="97" t="s">
        <v>282</v>
      </c>
      <c r="E43" s="97" t="str">
        <f t="shared" si="1"/>
        <v>Alain Camirand</v>
      </c>
      <c r="F43" s="97" t="s">
        <v>94</v>
      </c>
      <c r="G43" s="97" t="s">
        <v>108</v>
      </c>
      <c r="H43" s="97"/>
      <c r="I43" s="97" t="s">
        <v>283</v>
      </c>
      <c r="J43" s="97"/>
      <c r="K43" s="97"/>
      <c r="L43" s="97"/>
      <c r="M43" s="97"/>
      <c r="N43" s="97" t="s">
        <v>199</v>
      </c>
      <c r="O43" s="97"/>
    </row>
    <row r="44" spans="1:15" ht="60" x14ac:dyDescent="0.25">
      <c r="A44" s="97" t="s">
        <v>109</v>
      </c>
      <c r="B44" s="97" t="s">
        <v>110</v>
      </c>
      <c r="C44" s="97" t="s">
        <v>284</v>
      </c>
      <c r="D44" s="97" t="s">
        <v>285</v>
      </c>
      <c r="E44" s="97" t="str">
        <f t="shared" si="1"/>
        <v>Chris Johnson</v>
      </c>
      <c r="F44" s="97" t="s">
        <v>27</v>
      </c>
      <c r="G44" s="97" t="s">
        <v>111</v>
      </c>
      <c r="H44" s="97"/>
      <c r="I44" s="97"/>
      <c r="J44" s="97"/>
      <c r="K44" s="97"/>
      <c r="L44" s="97"/>
      <c r="M44" s="97"/>
      <c r="N44" s="97" t="s">
        <v>199</v>
      </c>
      <c r="O44" s="97"/>
    </row>
    <row r="45" spans="1:15" ht="60" x14ac:dyDescent="0.25">
      <c r="A45" s="97" t="s">
        <v>112</v>
      </c>
      <c r="B45" s="97" t="s">
        <v>113</v>
      </c>
      <c r="C45" s="97" t="s">
        <v>286</v>
      </c>
      <c r="D45" s="97" t="s">
        <v>114</v>
      </c>
      <c r="E45" s="97" t="str">
        <f t="shared" si="1"/>
        <v>Steven Sones</v>
      </c>
      <c r="F45" s="97" t="s">
        <v>115</v>
      </c>
      <c r="G45" s="97" t="s">
        <v>111</v>
      </c>
      <c r="H45" s="97"/>
      <c r="I45" s="97"/>
      <c r="J45" s="97"/>
      <c r="K45" s="97"/>
      <c r="L45" s="97"/>
      <c r="M45" s="97"/>
      <c r="N45" s="97" t="s">
        <v>199</v>
      </c>
      <c r="O45" s="97"/>
    </row>
    <row r="46" spans="1:15" ht="45" x14ac:dyDescent="0.25">
      <c r="A46" s="97" t="s">
        <v>116</v>
      </c>
      <c r="B46" s="97" t="s">
        <v>117</v>
      </c>
      <c r="C46" s="97" t="s">
        <v>287</v>
      </c>
      <c r="D46" s="97" t="s">
        <v>288</v>
      </c>
      <c r="E46" s="97" t="str">
        <f t="shared" si="1"/>
        <v>Stephanie Price</v>
      </c>
      <c r="F46" s="97" t="s">
        <v>118</v>
      </c>
      <c r="G46" s="97" t="s">
        <v>119</v>
      </c>
      <c r="H46" s="97" t="s">
        <v>224</v>
      </c>
      <c r="I46" s="97" t="s">
        <v>289</v>
      </c>
      <c r="J46" s="97"/>
      <c r="K46" s="97"/>
      <c r="L46" s="97"/>
      <c r="M46" s="97"/>
      <c r="N46" s="97" t="s">
        <v>199</v>
      </c>
      <c r="O46" s="97"/>
    </row>
    <row r="47" spans="1:15" ht="75" x14ac:dyDescent="0.25">
      <c r="A47" s="97" t="s">
        <v>120</v>
      </c>
      <c r="B47" s="97" t="s">
        <v>121</v>
      </c>
      <c r="C47" s="97" t="s">
        <v>290</v>
      </c>
      <c r="D47" s="97" t="s">
        <v>291</v>
      </c>
      <c r="E47" s="97" t="str">
        <f t="shared" si="1"/>
        <v>Dina Maxwell</v>
      </c>
      <c r="F47" s="97" t="s">
        <v>31</v>
      </c>
      <c r="G47" s="97" t="s">
        <v>122</v>
      </c>
      <c r="H47" s="97" t="s">
        <v>224</v>
      </c>
      <c r="I47" s="97" t="s">
        <v>292</v>
      </c>
      <c r="J47" s="97"/>
      <c r="K47" s="97"/>
      <c r="L47" s="97"/>
      <c r="M47" s="97"/>
      <c r="N47" s="97" t="s">
        <v>226</v>
      </c>
      <c r="O47" s="97"/>
    </row>
    <row r="48" spans="1:15" ht="21.4" customHeight="1" x14ac:dyDescent="0.25">
      <c r="A48" s="97" t="s">
        <v>123</v>
      </c>
      <c r="B48" s="97" t="s">
        <v>124</v>
      </c>
      <c r="C48" s="97" t="s">
        <v>293</v>
      </c>
      <c r="D48" s="97" t="s">
        <v>125</v>
      </c>
      <c r="E48" s="97" t="str">
        <f t="shared" si="1"/>
        <v>Ursula Iten-Mcgrath</v>
      </c>
      <c r="F48" s="97" t="s">
        <v>31</v>
      </c>
      <c r="G48" s="97" t="s">
        <v>126</v>
      </c>
      <c r="H48" s="97" t="s">
        <v>224</v>
      </c>
      <c r="I48" s="97" t="s">
        <v>294</v>
      </c>
      <c r="J48" s="97"/>
      <c r="K48" s="97"/>
      <c r="L48" s="97"/>
      <c r="M48" s="97"/>
      <c r="N48" s="97" t="s">
        <v>226</v>
      </c>
      <c r="O48" s="97"/>
    </row>
    <row r="49" spans="1:15" ht="60" x14ac:dyDescent="0.25">
      <c r="A49" s="97" t="s">
        <v>127</v>
      </c>
      <c r="B49" s="97" t="s">
        <v>128</v>
      </c>
      <c r="C49" s="97" t="s">
        <v>295</v>
      </c>
      <c r="D49" s="97" t="s">
        <v>125</v>
      </c>
      <c r="E49" s="97" t="str">
        <f t="shared" si="1"/>
        <v>Ursula Iten-Mcgrath</v>
      </c>
      <c r="F49" s="97" t="s">
        <v>31</v>
      </c>
      <c r="G49" s="97" t="s">
        <v>126</v>
      </c>
      <c r="H49" s="97" t="s">
        <v>224</v>
      </c>
      <c r="I49" s="97" t="s">
        <v>296</v>
      </c>
      <c r="J49" s="97"/>
      <c r="K49" s="97"/>
      <c r="L49" s="97"/>
      <c r="M49" s="97"/>
      <c r="N49" s="97" t="s">
        <v>226</v>
      </c>
      <c r="O49" s="97"/>
    </row>
    <row r="50" spans="1:15" ht="60" x14ac:dyDescent="0.25">
      <c r="A50" s="97" t="s">
        <v>129</v>
      </c>
      <c r="B50" s="97" t="s">
        <v>130</v>
      </c>
      <c r="C50" s="97" t="s">
        <v>297</v>
      </c>
      <c r="D50" s="97" t="s">
        <v>298</v>
      </c>
      <c r="E50" s="97" t="str">
        <f t="shared" si="1"/>
        <v>Ursula Iten-Mcgrath</v>
      </c>
      <c r="F50" s="97" t="s">
        <v>31</v>
      </c>
      <c r="G50" s="97" t="s">
        <v>126</v>
      </c>
      <c r="H50" s="97" t="s">
        <v>224</v>
      </c>
      <c r="I50" s="97" t="s">
        <v>299</v>
      </c>
      <c r="J50" s="97"/>
      <c r="K50" s="97"/>
      <c r="L50" s="97"/>
      <c r="M50" s="97"/>
      <c r="N50" s="97" t="s">
        <v>199</v>
      </c>
      <c r="O50" s="97"/>
    </row>
    <row r="51" spans="1:15" s="53" customFormat="1" ht="114.4" customHeight="1" x14ac:dyDescent="0.25">
      <c r="A51" s="97" t="s">
        <v>131</v>
      </c>
      <c r="B51" s="97" t="s">
        <v>132</v>
      </c>
      <c r="C51" s="97" t="s">
        <v>300</v>
      </c>
      <c r="D51" s="97" t="s">
        <v>301</v>
      </c>
      <c r="E51" s="97" t="str">
        <f t="shared" si="1"/>
        <v>Stephanie Price</v>
      </c>
      <c r="F51" s="97" t="s">
        <v>118</v>
      </c>
      <c r="G51" s="97" t="s">
        <v>119</v>
      </c>
      <c r="H51" s="97" t="s">
        <v>224</v>
      </c>
      <c r="I51" s="97" t="s">
        <v>302</v>
      </c>
      <c r="J51" s="97"/>
      <c r="K51" s="97"/>
      <c r="L51" s="97"/>
      <c r="M51" s="97"/>
      <c r="N51" s="97" t="s">
        <v>226</v>
      </c>
      <c r="O51" s="97"/>
    </row>
    <row r="52" spans="1:15" s="58" customFormat="1" ht="30" x14ac:dyDescent="0.25">
      <c r="A52" s="97" t="s">
        <v>133</v>
      </c>
      <c r="B52" s="97" t="s">
        <v>134</v>
      </c>
      <c r="C52" s="97" t="s">
        <v>303</v>
      </c>
      <c r="D52" s="97" t="s">
        <v>304</v>
      </c>
      <c r="E52" s="97" t="str">
        <f t="shared" si="1"/>
        <v>Alain Camirand</v>
      </c>
      <c r="F52" s="97" t="s">
        <v>94</v>
      </c>
      <c r="G52" s="97" t="s">
        <v>108</v>
      </c>
      <c r="H52" s="97" t="s">
        <v>224</v>
      </c>
      <c r="I52" s="97" t="s">
        <v>305</v>
      </c>
      <c r="J52" s="97"/>
      <c r="K52" s="97"/>
      <c r="L52" s="97"/>
      <c r="M52" s="97"/>
      <c r="N52" s="97" t="s">
        <v>226</v>
      </c>
      <c r="O52" s="97"/>
    </row>
    <row r="53" spans="1:15" s="58" customFormat="1" ht="45" x14ac:dyDescent="0.25">
      <c r="A53" s="97" t="s">
        <v>135</v>
      </c>
      <c r="B53" s="97" t="s">
        <v>136</v>
      </c>
      <c r="C53" s="97" t="s">
        <v>136</v>
      </c>
      <c r="D53" s="97" t="s">
        <v>304</v>
      </c>
      <c r="E53" s="97" t="str">
        <f t="shared" si="1"/>
        <v>Alain Camirand</v>
      </c>
      <c r="F53" s="97" t="s">
        <v>94</v>
      </c>
      <c r="G53" s="97" t="s">
        <v>108</v>
      </c>
      <c r="H53" s="97" t="s">
        <v>224</v>
      </c>
      <c r="I53" s="97" t="s">
        <v>306</v>
      </c>
      <c r="J53" s="97"/>
      <c r="K53" s="97"/>
      <c r="L53" s="97"/>
      <c r="M53" s="97"/>
      <c r="N53" s="97" t="s">
        <v>226</v>
      </c>
      <c r="O53" s="97"/>
    </row>
    <row r="54" spans="1:15" ht="45" x14ac:dyDescent="0.25">
      <c r="A54" s="97" t="s">
        <v>137</v>
      </c>
      <c r="B54" s="97" t="s">
        <v>138</v>
      </c>
      <c r="C54" s="97" t="s">
        <v>307</v>
      </c>
      <c r="D54" s="97" t="s">
        <v>308</v>
      </c>
      <c r="E54" s="97" t="str">
        <f t="shared" si="1"/>
        <v>Ursula Iten-Mcgrath</v>
      </c>
      <c r="F54" s="97" t="s">
        <v>31</v>
      </c>
      <c r="G54" s="97" t="s">
        <v>126</v>
      </c>
      <c r="H54" s="97" t="s">
        <v>309</v>
      </c>
      <c r="I54" s="97" t="s">
        <v>310</v>
      </c>
      <c r="J54" s="97"/>
      <c r="K54" s="97"/>
      <c r="L54" s="97"/>
      <c r="M54" s="97"/>
      <c r="N54" s="97" t="s">
        <v>226</v>
      </c>
      <c r="O54" s="97"/>
    </row>
    <row r="55" spans="1:15" s="93" customFormat="1" ht="30" x14ac:dyDescent="0.25">
      <c r="A55" s="97" t="s">
        <v>139</v>
      </c>
      <c r="B55" s="97" t="s">
        <v>140</v>
      </c>
      <c r="C55" s="97" t="s">
        <v>311</v>
      </c>
      <c r="D55" s="97" t="s">
        <v>312</v>
      </c>
      <c r="E55" s="97" t="str">
        <f t="shared" si="1"/>
        <v>Stephanie Price</v>
      </c>
      <c r="F55" s="97" t="s">
        <v>118</v>
      </c>
      <c r="G55" s="97" t="s">
        <v>119</v>
      </c>
      <c r="H55" s="97" t="s">
        <v>224</v>
      </c>
      <c r="I55" s="97"/>
      <c r="J55" s="97"/>
      <c r="K55" s="97"/>
      <c r="L55" s="97"/>
      <c r="M55" s="97"/>
      <c r="N55" s="97" t="s">
        <v>226</v>
      </c>
      <c r="O55" s="97"/>
    </row>
    <row r="56" spans="1:15" ht="90" x14ac:dyDescent="0.25">
      <c r="A56" s="97" t="s">
        <v>141</v>
      </c>
      <c r="B56" s="97" t="s">
        <v>142</v>
      </c>
      <c r="C56" s="97" t="s">
        <v>313</v>
      </c>
      <c r="D56" s="97" t="s">
        <v>314</v>
      </c>
      <c r="E56" s="97" t="str">
        <f t="shared" si="1"/>
        <v>Ursula Iten-Mcgrath</v>
      </c>
      <c r="F56" s="97" t="s">
        <v>31</v>
      </c>
      <c r="G56" s="97" t="s">
        <v>126</v>
      </c>
      <c r="H56" s="97" t="s">
        <v>315</v>
      </c>
      <c r="I56" s="97" t="s">
        <v>316</v>
      </c>
      <c r="J56" s="97"/>
      <c r="K56" s="97"/>
      <c r="L56" s="97"/>
      <c r="M56" s="97"/>
      <c r="N56" s="97" t="s">
        <v>199</v>
      </c>
      <c r="O56" s="97"/>
    </row>
    <row r="57" spans="1:15" s="53" customFormat="1" ht="60" x14ac:dyDescent="0.25">
      <c r="A57" s="97" t="s">
        <v>143</v>
      </c>
      <c r="B57" s="97" t="s">
        <v>144</v>
      </c>
      <c r="C57" s="97" t="s">
        <v>317</v>
      </c>
      <c r="D57" s="97" t="s">
        <v>318</v>
      </c>
      <c r="E57" s="97" t="str">
        <f t="shared" si="1"/>
        <v>David Frank</v>
      </c>
      <c r="F57" s="97" t="s">
        <v>31</v>
      </c>
      <c r="G57" s="97" t="s">
        <v>145</v>
      </c>
      <c r="H57" s="97" t="s">
        <v>224</v>
      </c>
      <c r="I57" s="97" t="s">
        <v>319</v>
      </c>
      <c r="J57" s="97"/>
      <c r="K57" s="97"/>
      <c r="L57" s="97"/>
      <c r="M57" s="97"/>
      <c r="N57" s="97" t="s">
        <v>199</v>
      </c>
      <c r="O57" s="97"/>
    </row>
    <row r="58" spans="1:15" s="53" customFormat="1" ht="45" x14ac:dyDescent="0.25">
      <c r="A58" s="97" t="s">
        <v>146</v>
      </c>
      <c r="B58" s="97" t="s">
        <v>147</v>
      </c>
      <c r="C58" s="97" t="s">
        <v>320</v>
      </c>
      <c r="D58" s="97" t="s">
        <v>321</v>
      </c>
      <c r="E58" s="97" t="str">
        <f t="shared" si="1"/>
        <v>Jelena Cokorilo</v>
      </c>
      <c r="F58" s="97" t="s">
        <v>7</v>
      </c>
      <c r="G58" s="97" t="s">
        <v>147</v>
      </c>
      <c r="H58" s="97"/>
      <c r="I58" s="97" t="s">
        <v>322</v>
      </c>
      <c r="J58" s="97"/>
      <c r="K58" s="97"/>
      <c r="L58" s="97"/>
      <c r="M58" s="97"/>
      <c r="N58" s="97"/>
      <c r="O58" s="97"/>
    </row>
    <row r="59" spans="1:15" ht="45" x14ac:dyDescent="0.25">
      <c r="A59" s="97" t="s">
        <v>148</v>
      </c>
      <c r="B59" s="97" t="s">
        <v>149</v>
      </c>
      <c r="C59" s="97" t="s">
        <v>323</v>
      </c>
      <c r="D59" s="97" t="s">
        <v>324</v>
      </c>
      <c r="E59" s="97" t="str">
        <f t="shared" si="1"/>
        <v>Mimi Xue</v>
      </c>
      <c r="F59" s="97" t="s">
        <v>14</v>
      </c>
      <c r="G59" s="97" t="s">
        <v>23</v>
      </c>
      <c r="H59" s="97"/>
      <c r="I59" s="97"/>
      <c r="J59" s="97"/>
      <c r="K59" s="97"/>
      <c r="L59" s="97"/>
      <c r="M59" s="97"/>
      <c r="N59" s="97"/>
      <c r="O59" s="97"/>
    </row>
    <row r="60" spans="1:15" ht="75" x14ac:dyDescent="0.25">
      <c r="A60" s="97" t="s">
        <v>150</v>
      </c>
      <c r="B60" s="97" t="s">
        <v>151</v>
      </c>
      <c r="C60" s="97" t="s">
        <v>325</v>
      </c>
      <c r="D60" s="97" t="s">
        <v>326</v>
      </c>
      <c r="E60" s="97" t="str">
        <f t="shared" si="1"/>
        <v>Mimi Xue</v>
      </c>
      <c r="F60" s="97" t="s">
        <v>14</v>
      </c>
      <c r="G60" s="97" t="s">
        <v>23</v>
      </c>
      <c r="H60" s="97"/>
      <c r="I60" s="97"/>
      <c r="J60" s="97"/>
      <c r="K60" s="97"/>
      <c r="L60" s="97"/>
      <c r="M60" s="97"/>
      <c r="N60" s="97"/>
      <c r="O60" s="97"/>
    </row>
    <row r="61" spans="1:15" s="53" customFormat="1" ht="180" x14ac:dyDescent="0.25">
      <c r="A61" s="97" t="s">
        <v>152</v>
      </c>
      <c r="B61" s="97" t="s">
        <v>153</v>
      </c>
      <c r="C61" s="97" t="s">
        <v>327</v>
      </c>
      <c r="D61" s="97" t="s">
        <v>328</v>
      </c>
      <c r="E61" s="97" t="str">
        <f t="shared" si="1"/>
        <v>Shan-shan Bian</v>
      </c>
      <c r="F61" s="97" t="s">
        <v>154</v>
      </c>
      <c r="G61" s="97" t="s">
        <v>155</v>
      </c>
      <c r="H61" s="97" t="s">
        <v>329</v>
      </c>
      <c r="I61" s="97" t="s">
        <v>330</v>
      </c>
      <c r="J61" s="97"/>
      <c r="K61" s="97"/>
      <c r="L61" s="97"/>
      <c r="M61" s="97"/>
      <c r="N61" s="97"/>
      <c r="O61" s="97"/>
    </row>
    <row r="62" spans="1:15" s="53" customFormat="1" ht="30" x14ac:dyDescent="0.25">
      <c r="A62" s="97" t="s">
        <v>156</v>
      </c>
      <c r="B62" s="97" t="s">
        <v>157</v>
      </c>
      <c r="C62" s="97"/>
      <c r="D62" s="97" t="s">
        <v>331</v>
      </c>
      <c r="E62" s="97" t="str">
        <f t="shared" si="1"/>
        <v>Shan-shan Bian</v>
      </c>
      <c r="F62" s="97" t="s">
        <v>154</v>
      </c>
      <c r="G62" s="97" t="s">
        <v>155</v>
      </c>
      <c r="H62" s="97" t="s">
        <v>329</v>
      </c>
      <c r="I62" s="97" t="s">
        <v>332</v>
      </c>
      <c r="J62" s="97"/>
      <c r="K62" s="97"/>
      <c r="L62" s="97"/>
      <c r="M62" s="97"/>
      <c r="N62" s="97"/>
      <c r="O62" s="97"/>
    </row>
    <row r="63" spans="1:15" s="53" customFormat="1" ht="45" x14ac:dyDescent="0.25">
      <c r="A63" s="97" t="s">
        <v>158</v>
      </c>
      <c r="B63" s="97" t="s">
        <v>159</v>
      </c>
      <c r="C63" s="97"/>
      <c r="D63" s="97" t="s">
        <v>333</v>
      </c>
      <c r="E63" s="97" t="str">
        <f t="shared" si="1"/>
        <v>Shan-shan Bian</v>
      </c>
      <c r="F63" s="97" t="s">
        <v>154</v>
      </c>
      <c r="G63" s="97" t="s">
        <v>155</v>
      </c>
      <c r="H63" s="97" t="s">
        <v>329</v>
      </c>
      <c r="I63" s="97" t="s">
        <v>334</v>
      </c>
      <c r="J63" s="97"/>
      <c r="K63" s="97"/>
      <c r="L63" s="97"/>
      <c r="M63" s="97"/>
      <c r="N63" s="97"/>
      <c r="O63" s="97"/>
    </row>
    <row r="64" spans="1:15" s="53" customFormat="1" ht="240" x14ac:dyDescent="0.25">
      <c r="A64" s="97" t="s">
        <v>160</v>
      </c>
      <c r="B64" s="97" t="s">
        <v>161</v>
      </c>
      <c r="C64" s="97" t="s">
        <v>335</v>
      </c>
      <c r="D64" s="97" t="s">
        <v>328</v>
      </c>
      <c r="E64" s="97" t="str">
        <f t="shared" si="1"/>
        <v>Shan-shan Bian</v>
      </c>
      <c r="F64" s="97" t="s">
        <v>154</v>
      </c>
      <c r="G64" s="97" t="s">
        <v>155</v>
      </c>
      <c r="H64" s="97" t="s">
        <v>329</v>
      </c>
      <c r="I64" s="97" t="s">
        <v>336</v>
      </c>
      <c r="J64" s="97"/>
      <c r="K64" s="97"/>
      <c r="L64" s="97"/>
      <c r="M64" s="97"/>
      <c r="N64" s="97"/>
      <c r="O64" s="97"/>
    </row>
    <row r="65" spans="1:15" s="53" customFormat="1" ht="90" x14ac:dyDescent="0.25">
      <c r="A65" s="97" t="s">
        <v>162</v>
      </c>
      <c r="B65" s="97" t="s">
        <v>163</v>
      </c>
      <c r="C65" s="97" t="s">
        <v>337</v>
      </c>
      <c r="D65" s="97" t="s">
        <v>338</v>
      </c>
      <c r="E65" s="97" t="str">
        <f t="shared" si="1"/>
        <v>David Frank</v>
      </c>
      <c r="F65" s="97" t="s">
        <v>14</v>
      </c>
      <c r="G65" s="97" t="s">
        <v>145</v>
      </c>
      <c r="H65" s="97"/>
      <c r="I65" s="97"/>
      <c r="J65" s="97"/>
      <c r="K65" s="97"/>
      <c r="L65" s="97"/>
      <c r="M65" s="97"/>
      <c r="N65" s="97"/>
      <c r="O65" s="97"/>
    </row>
    <row r="66" spans="1:15" s="53" customFormat="1" ht="45" x14ac:dyDescent="0.25">
      <c r="A66" s="97" t="s">
        <v>164</v>
      </c>
      <c r="B66" s="97" t="s">
        <v>165</v>
      </c>
      <c r="C66" s="97" t="s">
        <v>339</v>
      </c>
      <c r="D66" s="97" t="s">
        <v>340</v>
      </c>
      <c r="E66" s="97" t="str">
        <f t="shared" si="1"/>
        <v>David Frank</v>
      </c>
      <c r="F66" s="97" t="s">
        <v>14</v>
      </c>
      <c r="G66" s="97" t="s">
        <v>145</v>
      </c>
      <c r="H66" s="97"/>
      <c r="I66" s="97"/>
      <c r="J66" s="97"/>
      <c r="K66" s="97"/>
      <c r="L66" s="97"/>
      <c r="M66" s="97"/>
      <c r="N66" s="97"/>
      <c r="O66" s="97"/>
    </row>
    <row r="67" spans="1:15" s="53" customFormat="1" ht="90" x14ac:dyDescent="0.25">
      <c r="A67" s="97" t="s">
        <v>166</v>
      </c>
      <c r="B67" s="97" t="s">
        <v>167</v>
      </c>
      <c r="C67" s="97" t="s">
        <v>341</v>
      </c>
      <c r="D67" s="97" t="s">
        <v>342</v>
      </c>
      <c r="E67" s="97" t="str">
        <f t="shared" si="1"/>
        <v>Jelena Cokorilo</v>
      </c>
      <c r="F67" s="97" t="s">
        <v>7</v>
      </c>
      <c r="G67" s="97" t="s">
        <v>168</v>
      </c>
      <c r="H67" s="97"/>
      <c r="I67" s="97" t="s">
        <v>343</v>
      </c>
      <c r="J67" s="97"/>
      <c r="K67" s="97"/>
      <c r="L67" s="97"/>
      <c r="M67" s="97"/>
      <c r="N67" s="97"/>
      <c r="O67" s="97"/>
    </row>
    <row r="68" spans="1:15" s="53" customFormat="1" ht="69.75" customHeight="1" x14ac:dyDescent="0.25">
      <c r="A68" s="97" t="s">
        <v>169</v>
      </c>
      <c r="B68" s="97" t="s">
        <v>170</v>
      </c>
      <c r="C68" s="97" t="s">
        <v>344</v>
      </c>
      <c r="D68" s="97" t="s">
        <v>345</v>
      </c>
      <c r="E68" s="97" t="str">
        <f t="shared" si="1"/>
        <v>Feroz Nasirudin</v>
      </c>
      <c r="F68" s="97" t="s">
        <v>31</v>
      </c>
      <c r="G68" s="97" t="s">
        <v>171</v>
      </c>
      <c r="H68" s="97" t="s">
        <v>346</v>
      </c>
      <c r="I68" s="97" t="s">
        <v>347</v>
      </c>
      <c r="J68" s="97"/>
      <c r="K68" s="97"/>
      <c r="L68" s="97"/>
      <c r="M68" s="97"/>
      <c r="N68" s="97"/>
      <c r="O68" s="97"/>
    </row>
    <row r="69" spans="1:15" s="53" customFormat="1" ht="40.9" customHeight="1" x14ac:dyDescent="0.25">
      <c r="A69" s="97" t="s">
        <v>172</v>
      </c>
      <c r="B69" s="97" t="s">
        <v>97</v>
      </c>
      <c r="C69" s="97" t="s">
        <v>267</v>
      </c>
      <c r="D69" s="97" t="s">
        <v>272</v>
      </c>
      <c r="E69" s="97" t="str">
        <f t="shared" si="1"/>
        <v>Yvonne Chang</v>
      </c>
      <c r="F69" s="97" t="s">
        <v>94</v>
      </c>
      <c r="G69" s="97" t="s">
        <v>95</v>
      </c>
      <c r="H69" s="97"/>
      <c r="I69" s="97" t="s">
        <v>348</v>
      </c>
      <c r="J69" s="97"/>
      <c r="K69" s="97"/>
      <c r="L69" s="97"/>
      <c r="M69" s="97"/>
      <c r="N69" s="97" t="s">
        <v>199</v>
      </c>
      <c r="O69" s="97"/>
    </row>
    <row r="70" spans="1:15" s="53" customFormat="1" ht="75" x14ac:dyDescent="0.25">
      <c r="A70" s="97" t="s">
        <v>173</v>
      </c>
      <c r="B70" s="97" t="s">
        <v>174</v>
      </c>
      <c r="C70" s="97" t="s">
        <v>349</v>
      </c>
      <c r="D70" s="97" t="s">
        <v>350</v>
      </c>
      <c r="E70" s="97" t="str">
        <f t="shared" ref="E70:E74" si="2">IF(D70="","",TRIM(IFERROR(_xlfn.TEXTBEFORE(D70,","),D70)))</f>
        <v>Yvonne Chang</v>
      </c>
      <c r="F70" s="97" t="s">
        <v>94</v>
      </c>
      <c r="G70" s="97" t="s">
        <v>95</v>
      </c>
      <c r="H70" s="97" t="s">
        <v>351</v>
      </c>
      <c r="I70" s="97" t="s">
        <v>352</v>
      </c>
      <c r="J70" s="97"/>
      <c r="K70" s="97"/>
      <c r="L70" s="97"/>
      <c r="M70" s="97"/>
      <c r="N70" s="97"/>
      <c r="O70" s="97"/>
    </row>
    <row r="71" spans="1:15" s="53" customFormat="1" ht="45" x14ac:dyDescent="0.25">
      <c r="A71" s="97" t="s">
        <v>175</v>
      </c>
      <c r="B71" s="97" t="s">
        <v>176</v>
      </c>
      <c r="C71" s="97" t="s">
        <v>353</v>
      </c>
      <c r="D71" s="97" t="s">
        <v>354</v>
      </c>
      <c r="E71" s="97" t="str">
        <f t="shared" si="2"/>
        <v>Yvonne Chang</v>
      </c>
      <c r="F71" s="97" t="s">
        <v>94</v>
      </c>
      <c r="G71" s="97" t="s">
        <v>95</v>
      </c>
      <c r="H71" s="97"/>
      <c r="I71" s="97" t="s">
        <v>355</v>
      </c>
      <c r="J71" s="97"/>
      <c r="K71" s="97"/>
      <c r="L71" s="97"/>
      <c r="M71" s="97"/>
      <c r="N71" s="97"/>
      <c r="O71" s="97"/>
    </row>
    <row r="72" spans="1:15" s="53" customFormat="1" ht="30" x14ac:dyDescent="0.25">
      <c r="A72" s="97" t="s">
        <v>177</v>
      </c>
      <c r="B72" s="97" t="s">
        <v>178</v>
      </c>
      <c r="C72" s="97" t="s">
        <v>178</v>
      </c>
      <c r="D72" s="97" t="s">
        <v>354</v>
      </c>
      <c r="E72" s="97" t="str">
        <f t="shared" si="2"/>
        <v>Yvonne Chang</v>
      </c>
      <c r="F72" s="97" t="s">
        <v>94</v>
      </c>
      <c r="G72" s="97" t="s">
        <v>95</v>
      </c>
      <c r="H72" s="97"/>
      <c r="I72" s="97" t="s">
        <v>356</v>
      </c>
      <c r="J72" s="97"/>
      <c r="K72" s="97"/>
      <c r="L72" s="97"/>
      <c r="M72" s="97"/>
      <c r="N72" s="97"/>
      <c r="O72" s="97"/>
    </row>
    <row r="73" spans="1:15" s="53" customFormat="1" ht="120" x14ac:dyDescent="0.25">
      <c r="A73" s="97" t="s">
        <v>179</v>
      </c>
      <c r="B73" s="97" t="s">
        <v>180</v>
      </c>
      <c r="C73" s="97" t="s">
        <v>357</v>
      </c>
      <c r="D73" s="97" t="s">
        <v>358</v>
      </c>
      <c r="E73" s="97" t="str">
        <f t="shared" si="2"/>
        <v>David Frank</v>
      </c>
      <c r="F73" s="97" t="s">
        <v>14</v>
      </c>
      <c r="G73" s="97" t="s">
        <v>95</v>
      </c>
      <c r="H73" s="97" t="s">
        <v>359</v>
      </c>
      <c r="I73" s="97" t="s">
        <v>360</v>
      </c>
      <c r="J73" s="97"/>
      <c r="K73" s="97"/>
      <c r="L73" s="97"/>
      <c r="M73" s="97"/>
      <c r="N73" s="97"/>
      <c r="O73" s="97"/>
    </row>
    <row r="74" spans="1:15" s="53" customFormat="1" ht="210" x14ac:dyDescent="0.25">
      <c r="A74" s="97" t="s">
        <v>181</v>
      </c>
      <c r="B74" s="97" t="s">
        <v>182</v>
      </c>
      <c r="C74" s="97" t="s">
        <v>361</v>
      </c>
      <c r="D74" s="97" t="s">
        <v>362</v>
      </c>
      <c r="E74" s="97" t="str">
        <f t="shared" si="2"/>
        <v>Nicki Bricker</v>
      </c>
      <c r="F74" s="97" t="s">
        <v>37</v>
      </c>
      <c r="G74" s="97" t="s">
        <v>38</v>
      </c>
      <c r="H74" s="97" t="s">
        <v>363</v>
      </c>
      <c r="I74" s="97" t="s">
        <v>364</v>
      </c>
      <c r="J74" s="97"/>
      <c r="K74" s="97"/>
      <c r="L74" s="97"/>
      <c r="M74" s="97"/>
      <c r="N74" s="97"/>
      <c r="O74" s="97"/>
    </row>
  </sheetData>
  <autoFilter ref="A5:N74" xr:uid="{C06CFCA2-B0B7-4BF2-A0F9-C7DE4CE399FA}">
    <filterColumn colId="5">
      <filters>
        <filter val="Dan Zielinski"/>
        <filter val="Denise Morris"/>
        <filter val="Erin Morrow"/>
        <filter val="Jon Rasmussen"/>
        <filter val="Julie Badurina"/>
        <filter val="Mary Miras"/>
        <filter val="Nayra Calderon"/>
        <filter val="Patrice Ficklin"/>
        <filter val="Victoria Carrier"/>
      </filters>
    </filterColumn>
  </autoFilter>
  <pageMargins left="0.7" right="0.7" top="0.75" bottom="0.75" header="0.3" footer="0.3"/>
  <pageSetup orientation="portrait" r:id="rId1"/>
  <headerFooter>
    <oddFooter>&amp;L&amp;1#&amp;"Calibri"&amp;10&amp;K000000Internal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929BE-05F7-470F-BBC9-DB63E6383850}">
  <sheetPr>
    <tabColor rgb="FF92D050"/>
  </sheetPr>
  <dimension ref="A1:O107"/>
  <sheetViews>
    <sheetView topLeftCell="E4" zoomScale="98" zoomScaleNormal="98" workbookViewId="0">
      <selection activeCell="K8" sqref="K8"/>
    </sheetView>
  </sheetViews>
  <sheetFormatPr defaultColWidth="8.85546875" defaultRowHeight="15" x14ac:dyDescent="0.25"/>
  <cols>
    <col min="1" max="1" width="9.42578125" style="69" customWidth="1"/>
    <col min="2" max="2" width="20" style="24" customWidth="1"/>
    <col min="3" max="3" width="31.5703125" style="24" customWidth="1"/>
    <col min="4" max="4" width="20.85546875" style="70" customWidth="1"/>
    <col min="5" max="5" width="18.140625" style="70" bestFit="1" customWidth="1"/>
    <col min="6" max="6" width="15.5703125" style="70" bestFit="1" customWidth="1"/>
    <col min="7" max="7" width="28" style="24" bestFit="1" customWidth="1"/>
    <col min="8" max="8" width="7.5703125" style="23" customWidth="1"/>
    <col min="9" max="9" width="9.140625" style="24" customWidth="1"/>
    <col min="10" max="10" width="10" style="24" customWidth="1"/>
    <col min="11" max="11" width="18.5703125" style="24" bestFit="1" customWidth="1"/>
    <col min="12" max="12" width="18.140625" style="69" bestFit="1" customWidth="1"/>
    <col min="13" max="13" width="10.85546875" style="69" bestFit="1" customWidth="1"/>
    <col min="14" max="14" width="22.85546875" style="24" bestFit="1" customWidth="1"/>
    <col min="15" max="15" width="15.42578125" style="24" customWidth="1"/>
    <col min="16" max="16" width="11.42578125" style="24" customWidth="1"/>
    <col min="17" max="16384" width="8.85546875" style="24"/>
  </cols>
  <sheetData>
    <row r="1" spans="1:15" x14ac:dyDescent="0.25">
      <c r="A1" s="98" t="s">
        <v>183</v>
      </c>
    </row>
    <row r="3" spans="1:15" x14ac:dyDescent="0.25">
      <c r="L3" s="69" t="s">
        <v>185</v>
      </c>
      <c r="N3" s="24" t="s">
        <v>185</v>
      </c>
    </row>
    <row r="5" spans="1:15" s="14" customFormat="1" ht="83.25" x14ac:dyDescent="0.25">
      <c r="A5" s="95" t="s">
        <v>0</v>
      </c>
      <c r="B5" s="95" t="s">
        <v>1</v>
      </c>
      <c r="C5" s="95" t="s">
        <v>186</v>
      </c>
      <c r="D5" s="95" t="s">
        <v>187</v>
      </c>
      <c r="E5" s="95" t="s">
        <v>2</v>
      </c>
      <c r="F5" s="95" t="s">
        <v>3</v>
      </c>
      <c r="G5" s="95" t="s">
        <v>4</v>
      </c>
      <c r="H5" s="95" t="s">
        <v>369</v>
      </c>
      <c r="I5" s="95" t="s">
        <v>188</v>
      </c>
      <c r="J5" s="95" t="s">
        <v>189</v>
      </c>
      <c r="K5" s="95" t="s">
        <v>370</v>
      </c>
      <c r="L5" s="96" t="s">
        <v>192</v>
      </c>
      <c r="M5" s="96" t="s">
        <v>371</v>
      </c>
      <c r="N5" s="96" t="s">
        <v>372</v>
      </c>
      <c r="O5" s="13"/>
    </row>
    <row r="6" spans="1:15" ht="160.15" customHeight="1" x14ac:dyDescent="0.25">
      <c r="A6" s="97" t="s">
        <v>5</v>
      </c>
      <c r="B6" s="97" t="s">
        <v>6</v>
      </c>
      <c r="C6" s="97" t="s">
        <v>195</v>
      </c>
      <c r="D6" s="97" t="s">
        <v>196</v>
      </c>
      <c r="E6" s="97" t="str">
        <f t="shared" ref="E6:E37" si="0">IF(D6="","",TRIM(IFERROR(_xlfn.TEXTBEFORE(D6,","),D6)))</f>
        <v>Heath Novak</v>
      </c>
      <c r="F6" s="97" t="s">
        <v>7</v>
      </c>
      <c r="G6" s="97" t="s">
        <v>8</v>
      </c>
      <c r="H6" s="97" t="s">
        <v>373</v>
      </c>
      <c r="I6" s="97" t="s">
        <v>197</v>
      </c>
      <c r="J6" s="97" t="s">
        <v>198</v>
      </c>
      <c r="K6" s="97" t="s">
        <v>374</v>
      </c>
      <c r="L6" s="97" t="s">
        <v>199</v>
      </c>
      <c r="M6" s="97"/>
      <c r="N6" s="97" t="s">
        <v>200</v>
      </c>
    </row>
    <row r="7" spans="1:15" ht="71.25" customHeight="1" x14ac:dyDescent="0.25">
      <c r="A7" s="97" t="s">
        <v>9</v>
      </c>
      <c r="B7" s="97" t="s">
        <v>10</v>
      </c>
      <c r="C7" s="97" t="s">
        <v>201</v>
      </c>
      <c r="D7" s="97" t="s">
        <v>202</v>
      </c>
      <c r="E7" s="97" t="str">
        <f t="shared" si="0"/>
        <v>Jelena Cokorilo</v>
      </c>
      <c r="F7" s="97" t="s">
        <v>7</v>
      </c>
      <c r="G7" s="97" t="s">
        <v>11</v>
      </c>
      <c r="H7" s="97" t="s">
        <v>375</v>
      </c>
      <c r="I7" s="97"/>
      <c r="J7" s="97"/>
      <c r="K7" s="97" t="s">
        <v>374</v>
      </c>
      <c r="L7" s="97" t="s">
        <v>199</v>
      </c>
      <c r="M7" s="97"/>
      <c r="N7" s="97"/>
    </row>
    <row r="8" spans="1:15" ht="186" customHeight="1" x14ac:dyDescent="0.25">
      <c r="A8" s="97" t="s">
        <v>12</v>
      </c>
      <c r="B8" s="97" t="s">
        <v>13</v>
      </c>
      <c r="C8" s="97" t="s">
        <v>203</v>
      </c>
      <c r="D8" s="97" t="s">
        <v>204</v>
      </c>
      <c r="E8" s="97" t="str">
        <f t="shared" si="0"/>
        <v>Nitassa Upal</v>
      </c>
      <c r="F8" s="97" t="s">
        <v>14</v>
      </c>
      <c r="G8" s="97" t="s">
        <v>15</v>
      </c>
      <c r="H8" s="97"/>
      <c r="I8" s="97" t="s">
        <v>205</v>
      </c>
      <c r="J8" s="97" t="s">
        <v>206</v>
      </c>
      <c r="K8" s="97" t="s">
        <v>374</v>
      </c>
      <c r="L8" s="97" t="s">
        <v>199</v>
      </c>
      <c r="M8" s="97"/>
      <c r="N8" s="97"/>
    </row>
    <row r="9" spans="1:15" ht="135" x14ac:dyDescent="0.25">
      <c r="A9" s="97" t="s">
        <v>16</v>
      </c>
      <c r="B9" s="97" t="s">
        <v>17</v>
      </c>
      <c r="C9" s="97" t="s">
        <v>207</v>
      </c>
      <c r="D9" s="97" t="s">
        <v>208</v>
      </c>
      <c r="E9" s="97" t="str">
        <f t="shared" si="0"/>
        <v>Heath Novak</v>
      </c>
      <c r="F9" s="97" t="s">
        <v>7</v>
      </c>
      <c r="G9" s="97" t="s">
        <v>8</v>
      </c>
      <c r="H9" s="97"/>
      <c r="I9" s="97" t="s">
        <v>209</v>
      </c>
      <c r="J9" s="97" t="s">
        <v>210</v>
      </c>
      <c r="K9" s="97" t="s">
        <v>374</v>
      </c>
      <c r="L9" s="97" t="s">
        <v>199</v>
      </c>
      <c r="M9" s="97" t="s">
        <v>226</v>
      </c>
      <c r="N9" s="97" t="s">
        <v>211</v>
      </c>
    </row>
    <row r="10" spans="1:15" ht="180" x14ac:dyDescent="0.25">
      <c r="A10" s="97" t="s">
        <v>18</v>
      </c>
      <c r="B10" s="97" t="s">
        <v>19</v>
      </c>
      <c r="C10" s="97" t="s">
        <v>212</v>
      </c>
      <c r="D10" s="97" t="s">
        <v>213</v>
      </c>
      <c r="E10" s="97" t="str">
        <f t="shared" si="0"/>
        <v>Mimi Xue</v>
      </c>
      <c r="F10" s="97" t="s">
        <v>14</v>
      </c>
      <c r="G10" s="97" t="s">
        <v>20</v>
      </c>
      <c r="H10" s="97"/>
      <c r="I10" s="97" t="s">
        <v>214</v>
      </c>
      <c r="J10" s="97" t="s">
        <v>215</v>
      </c>
      <c r="K10" s="97" t="s">
        <v>374</v>
      </c>
      <c r="L10" s="97" t="s">
        <v>199</v>
      </c>
      <c r="M10" s="97"/>
      <c r="N10" s="97"/>
    </row>
    <row r="11" spans="1:15" ht="57.75" customHeight="1" x14ac:dyDescent="0.25">
      <c r="A11" s="97" t="s">
        <v>21</v>
      </c>
      <c r="B11" s="97" t="s">
        <v>22</v>
      </c>
      <c r="C11" s="97" t="s">
        <v>216</v>
      </c>
      <c r="D11" s="97" t="s">
        <v>217</v>
      </c>
      <c r="E11" s="97" t="str">
        <f t="shared" si="0"/>
        <v>Mimi Xue</v>
      </c>
      <c r="F11" s="97" t="s">
        <v>14</v>
      </c>
      <c r="G11" s="97" t="s">
        <v>23</v>
      </c>
      <c r="H11" s="97"/>
      <c r="I11" s="97" t="s">
        <v>218</v>
      </c>
      <c r="J11" s="97" t="s">
        <v>219</v>
      </c>
      <c r="K11" s="97" t="s">
        <v>374</v>
      </c>
      <c r="L11" s="97" t="s">
        <v>199</v>
      </c>
      <c r="M11" s="97"/>
      <c r="N11" s="97"/>
    </row>
    <row r="12" spans="1:15" ht="75" x14ac:dyDescent="0.25">
      <c r="A12" s="97" t="s">
        <v>24</v>
      </c>
      <c r="B12" s="97" t="s">
        <v>25</v>
      </c>
      <c r="C12" s="97" t="s">
        <v>220</v>
      </c>
      <c r="D12" s="97" t="s">
        <v>26</v>
      </c>
      <c r="E12" s="97" t="str">
        <f t="shared" si="0"/>
        <v>Mark Desautels</v>
      </c>
      <c r="F12" s="97" t="s">
        <v>27</v>
      </c>
      <c r="G12" s="97" t="s">
        <v>28</v>
      </c>
      <c r="H12" s="97"/>
      <c r="I12" s="97" t="s">
        <v>221</v>
      </c>
      <c r="J12" s="97"/>
      <c r="K12" s="97" t="s">
        <v>376</v>
      </c>
      <c r="L12" s="97" t="s">
        <v>199</v>
      </c>
      <c r="M12" s="97"/>
      <c r="N12" s="97"/>
    </row>
    <row r="13" spans="1:15" ht="180" x14ac:dyDescent="0.25">
      <c r="A13" s="97" t="s">
        <v>29</v>
      </c>
      <c r="B13" s="97" t="s">
        <v>30</v>
      </c>
      <c r="C13" s="97" t="s">
        <v>222</v>
      </c>
      <c r="D13" s="97" t="s">
        <v>223</v>
      </c>
      <c r="E13" s="97" t="str">
        <f t="shared" si="0"/>
        <v>David Burrows</v>
      </c>
      <c r="F13" s="97" t="s">
        <v>31</v>
      </c>
      <c r="G13" s="97" t="s">
        <v>32</v>
      </c>
      <c r="H13" s="97" t="s">
        <v>224</v>
      </c>
      <c r="I13" s="97" t="s">
        <v>224</v>
      </c>
      <c r="J13" s="97" t="s">
        <v>225</v>
      </c>
      <c r="K13" s="97" t="s">
        <v>374</v>
      </c>
      <c r="L13" s="97" t="s">
        <v>226</v>
      </c>
      <c r="M13" s="97" t="s">
        <v>226</v>
      </c>
      <c r="N13" s="97"/>
    </row>
    <row r="14" spans="1:15" ht="105" x14ac:dyDescent="0.25">
      <c r="A14" s="97" t="s">
        <v>33</v>
      </c>
      <c r="B14" s="97" t="s">
        <v>34</v>
      </c>
      <c r="C14" s="97" t="s">
        <v>227</v>
      </c>
      <c r="D14" s="97" t="s">
        <v>223</v>
      </c>
      <c r="E14" s="97" t="str">
        <f t="shared" si="0"/>
        <v>David Burrows</v>
      </c>
      <c r="F14" s="97" t="s">
        <v>31</v>
      </c>
      <c r="G14" s="97" t="s">
        <v>32</v>
      </c>
      <c r="H14" s="97"/>
      <c r="I14" s="97"/>
      <c r="J14" s="97" t="s">
        <v>228</v>
      </c>
      <c r="K14" s="97" t="s">
        <v>374</v>
      </c>
      <c r="L14" s="97" t="s">
        <v>226</v>
      </c>
      <c r="M14" s="97" t="s">
        <v>226</v>
      </c>
      <c r="N14" s="97"/>
    </row>
    <row r="15" spans="1:15" ht="60" customHeight="1" x14ac:dyDescent="0.25">
      <c r="A15" s="97" t="s">
        <v>35</v>
      </c>
      <c r="B15" s="97" t="s">
        <v>36</v>
      </c>
      <c r="C15" s="97" t="s">
        <v>229</v>
      </c>
      <c r="D15" s="97" t="s">
        <v>230</v>
      </c>
      <c r="E15" s="97" t="str">
        <f t="shared" si="0"/>
        <v>Chris MacLaren</v>
      </c>
      <c r="F15" s="97" t="s">
        <v>37</v>
      </c>
      <c r="G15" s="97" t="s">
        <v>38</v>
      </c>
      <c r="H15" s="97"/>
      <c r="I15" s="97"/>
      <c r="J15" s="97" t="s">
        <v>231</v>
      </c>
      <c r="K15" s="97" t="s">
        <v>374</v>
      </c>
      <c r="L15" s="97" t="s">
        <v>226</v>
      </c>
      <c r="M15" s="97" t="s">
        <v>226</v>
      </c>
      <c r="N15" s="97"/>
    </row>
    <row r="16" spans="1:15" ht="45" x14ac:dyDescent="0.25">
      <c r="A16" s="97" t="s">
        <v>39</v>
      </c>
      <c r="B16" s="97" t="s">
        <v>40</v>
      </c>
      <c r="C16" s="97" t="s">
        <v>232</v>
      </c>
      <c r="D16" s="97" t="s">
        <v>41</v>
      </c>
      <c r="E16" s="97" t="str">
        <f t="shared" si="0"/>
        <v>Gregory Stoeckl</v>
      </c>
      <c r="F16" s="97" t="s">
        <v>37</v>
      </c>
      <c r="G16" s="97" t="s">
        <v>38</v>
      </c>
      <c r="H16" s="97" t="s">
        <v>377</v>
      </c>
      <c r="I16" s="97" t="s">
        <v>233</v>
      </c>
      <c r="J16" s="97" t="s">
        <v>234</v>
      </c>
      <c r="K16" s="97" t="s">
        <v>378</v>
      </c>
      <c r="L16" s="97" t="s">
        <v>199</v>
      </c>
      <c r="M16" s="97"/>
      <c r="N16" s="97"/>
    </row>
    <row r="17" spans="1:14" ht="45" x14ac:dyDescent="0.25">
      <c r="A17" s="97" t="s">
        <v>42</v>
      </c>
      <c r="B17" s="97" t="s">
        <v>43</v>
      </c>
      <c r="C17" s="97" t="s">
        <v>235</v>
      </c>
      <c r="D17" s="97" t="s">
        <v>41</v>
      </c>
      <c r="E17" s="97" t="str">
        <f t="shared" si="0"/>
        <v>Gregory Stoeckl</v>
      </c>
      <c r="F17" s="97" t="s">
        <v>37</v>
      </c>
      <c r="G17" s="97" t="s">
        <v>38</v>
      </c>
      <c r="H17" s="97" t="s">
        <v>379</v>
      </c>
      <c r="I17" s="97" t="s">
        <v>236</v>
      </c>
      <c r="J17" s="97" t="s">
        <v>237</v>
      </c>
      <c r="K17" s="97" t="s">
        <v>379</v>
      </c>
      <c r="L17" s="97" t="s">
        <v>199</v>
      </c>
      <c r="M17" s="97"/>
      <c r="N17" s="97"/>
    </row>
    <row r="18" spans="1:14" ht="30" x14ac:dyDescent="0.25">
      <c r="A18" s="97" t="s">
        <v>44</v>
      </c>
      <c r="B18" s="97" t="s">
        <v>45</v>
      </c>
      <c r="C18" s="97" t="s">
        <v>238</v>
      </c>
      <c r="D18" s="97" t="s">
        <v>41</v>
      </c>
      <c r="E18" s="97" t="str">
        <f t="shared" si="0"/>
        <v>Gregory Stoeckl</v>
      </c>
      <c r="F18" s="97" t="s">
        <v>37</v>
      </c>
      <c r="G18" s="97" t="s">
        <v>38</v>
      </c>
      <c r="H18" s="97"/>
      <c r="I18" s="97" t="s">
        <v>233</v>
      </c>
      <c r="J18" s="97" t="s">
        <v>239</v>
      </c>
      <c r="K18" s="97" t="s">
        <v>378</v>
      </c>
      <c r="L18" s="97" t="s">
        <v>199</v>
      </c>
      <c r="M18" s="97"/>
      <c r="N18" s="97"/>
    </row>
    <row r="19" spans="1:14" ht="40.5" customHeight="1" x14ac:dyDescent="0.25">
      <c r="A19" s="97" t="s">
        <v>46</v>
      </c>
      <c r="B19" s="97" t="s">
        <v>47</v>
      </c>
      <c r="C19" s="97" t="s">
        <v>240</v>
      </c>
      <c r="D19" s="97" t="s">
        <v>230</v>
      </c>
      <c r="E19" s="97" t="str">
        <f t="shared" si="0"/>
        <v>Chris MacLaren</v>
      </c>
      <c r="F19" s="97" t="s">
        <v>37</v>
      </c>
      <c r="G19" s="97" t="s">
        <v>38</v>
      </c>
      <c r="H19" s="97" t="s">
        <v>380</v>
      </c>
      <c r="I19" s="97"/>
      <c r="J19" s="97" t="s">
        <v>241</v>
      </c>
      <c r="K19" s="97" t="s">
        <v>374</v>
      </c>
      <c r="L19" s="97" t="s">
        <v>199</v>
      </c>
      <c r="M19" s="97"/>
      <c r="N19" s="97"/>
    </row>
    <row r="20" spans="1:14" ht="45" x14ac:dyDescent="0.25">
      <c r="A20" s="97" t="s">
        <v>48</v>
      </c>
      <c r="B20" s="97" t="s">
        <v>49</v>
      </c>
      <c r="C20" s="97" t="s">
        <v>242</v>
      </c>
      <c r="D20" s="97" t="s">
        <v>41</v>
      </c>
      <c r="E20" s="97" t="str">
        <f t="shared" si="0"/>
        <v>Gregory Stoeckl</v>
      </c>
      <c r="F20" s="97" t="s">
        <v>37</v>
      </c>
      <c r="G20" s="97" t="s">
        <v>38</v>
      </c>
      <c r="H20" s="97" t="s">
        <v>377</v>
      </c>
      <c r="I20" s="97" t="s">
        <v>233</v>
      </c>
      <c r="J20" s="97" t="s">
        <v>243</v>
      </c>
      <c r="K20" s="97" t="s">
        <v>378</v>
      </c>
      <c r="L20" s="97" t="s">
        <v>199</v>
      </c>
      <c r="M20" s="97"/>
      <c r="N20" s="97"/>
    </row>
    <row r="21" spans="1:14" ht="75" x14ac:dyDescent="0.25">
      <c r="A21" s="97" t="s">
        <v>50</v>
      </c>
      <c r="B21" s="97" t="s">
        <v>51</v>
      </c>
      <c r="C21" s="97" t="s">
        <v>244</v>
      </c>
      <c r="D21" s="97" t="s">
        <v>230</v>
      </c>
      <c r="E21" s="97" t="str">
        <f t="shared" si="0"/>
        <v>Chris MacLaren</v>
      </c>
      <c r="F21" s="97" t="s">
        <v>37</v>
      </c>
      <c r="G21" s="97" t="s">
        <v>38</v>
      </c>
      <c r="H21" s="97" t="s">
        <v>381</v>
      </c>
      <c r="I21" s="97"/>
      <c r="J21" s="97" t="s">
        <v>245</v>
      </c>
      <c r="K21" s="97" t="s">
        <v>382</v>
      </c>
      <c r="L21" s="97" t="s">
        <v>226</v>
      </c>
      <c r="M21" s="97"/>
      <c r="N21" s="97"/>
    </row>
    <row r="22" spans="1:14" ht="195" x14ac:dyDescent="0.25">
      <c r="A22" s="97" t="s">
        <v>52</v>
      </c>
      <c r="B22" s="97" t="s">
        <v>53</v>
      </c>
      <c r="C22" s="97" t="s">
        <v>246</v>
      </c>
      <c r="D22" s="97" t="s">
        <v>247</v>
      </c>
      <c r="E22" s="97" t="str">
        <f t="shared" si="0"/>
        <v>Jason Le</v>
      </c>
      <c r="F22" s="97" t="s">
        <v>54</v>
      </c>
      <c r="G22" s="97" t="s">
        <v>55</v>
      </c>
      <c r="H22" s="97" t="s">
        <v>383</v>
      </c>
      <c r="I22" s="97" t="s">
        <v>248</v>
      </c>
      <c r="J22" s="97"/>
      <c r="K22" s="97" t="s">
        <v>378</v>
      </c>
      <c r="L22" s="97" t="s">
        <v>199</v>
      </c>
      <c r="M22" s="97"/>
      <c r="N22" s="97"/>
    </row>
    <row r="23" spans="1:14" ht="225" x14ac:dyDescent="0.25">
      <c r="A23" s="97" t="s">
        <v>56</v>
      </c>
      <c r="B23" s="97" t="s">
        <v>57</v>
      </c>
      <c r="C23" s="97" t="s">
        <v>249</v>
      </c>
      <c r="D23" s="97" t="s">
        <v>58</v>
      </c>
      <c r="E23" s="97" t="str">
        <f t="shared" si="0"/>
        <v>Phil Vallee</v>
      </c>
      <c r="F23" s="97" t="s">
        <v>54</v>
      </c>
      <c r="G23" s="97" t="s">
        <v>55</v>
      </c>
      <c r="H23" s="97" t="s">
        <v>384</v>
      </c>
      <c r="I23" s="97"/>
      <c r="J23" s="97"/>
      <c r="K23" s="97" t="s">
        <v>378</v>
      </c>
      <c r="L23" s="97" t="s">
        <v>199</v>
      </c>
      <c r="M23" s="97"/>
      <c r="N23" s="97"/>
    </row>
    <row r="24" spans="1:14" ht="135" x14ac:dyDescent="0.25">
      <c r="A24" s="97" t="s">
        <v>59</v>
      </c>
      <c r="B24" s="97" t="s">
        <v>60</v>
      </c>
      <c r="C24" s="97" t="s">
        <v>250</v>
      </c>
      <c r="D24" s="97" t="s">
        <v>61</v>
      </c>
      <c r="E24" s="97" t="str">
        <f t="shared" si="0"/>
        <v>Sunil Thomas</v>
      </c>
      <c r="F24" s="97" t="s">
        <v>54</v>
      </c>
      <c r="G24" s="97" t="s">
        <v>55</v>
      </c>
      <c r="H24" s="97" t="s">
        <v>385</v>
      </c>
      <c r="I24" s="97"/>
      <c r="J24" s="97"/>
      <c r="K24" s="97" t="s">
        <v>378</v>
      </c>
      <c r="L24" s="97" t="s">
        <v>199</v>
      </c>
      <c r="M24" s="97"/>
      <c r="N24" s="97"/>
    </row>
    <row r="25" spans="1:14" ht="255" x14ac:dyDescent="0.25">
      <c r="A25" s="97" t="s">
        <v>62</v>
      </c>
      <c r="B25" s="97" t="s">
        <v>63</v>
      </c>
      <c r="C25" s="97" t="s">
        <v>251</v>
      </c>
      <c r="D25" s="97" t="s">
        <v>252</v>
      </c>
      <c r="E25" s="97" t="str">
        <f t="shared" si="0"/>
        <v>Beverley Smyk</v>
      </c>
      <c r="F25" s="97" t="s">
        <v>54</v>
      </c>
      <c r="G25" s="97" t="s">
        <v>55</v>
      </c>
      <c r="H25" s="97"/>
      <c r="I25" s="97"/>
      <c r="J25" s="97"/>
      <c r="K25" s="97" t="s">
        <v>379</v>
      </c>
      <c r="L25" s="97" t="s">
        <v>199</v>
      </c>
      <c r="M25" s="97"/>
      <c r="N25" s="97"/>
    </row>
    <row r="26" spans="1:14" ht="240" x14ac:dyDescent="0.25">
      <c r="A26" s="97" t="s">
        <v>65</v>
      </c>
      <c r="B26" s="97" t="s">
        <v>66</v>
      </c>
      <c r="C26" s="97" t="s">
        <v>253</v>
      </c>
      <c r="D26" s="97" t="s">
        <v>61</v>
      </c>
      <c r="E26" s="97" t="str">
        <f t="shared" si="0"/>
        <v>Sunil Thomas</v>
      </c>
      <c r="F26" s="97" t="s">
        <v>54</v>
      </c>
      <c r="G26" s="97" t="s">
        <v>55</v>
      </c>
      <c r="H26" s="97" t="s">
        <v>385</v>
      </c>
      <c r="I26" s="97"/>
      <c r="J26" s="97"/>
      <c r="K26" s="97" t="s">
        <v>378</v>
      </c>
      <c r="L26" s="97" t="s">
        <v>199</v>
      </c>
      <c r="M26" s="97"/>
      <c r="N26" s="97"/>
    </row>
    <row r="27" spans="1:14" ht="120" x14ac:dyDescent="0.25">
      <c r="A27" s="97" t="s">
        <v>67</v>
      </c>
      <c r="B27" s="97" t="s">
        <v>68</v>
      </c>
      <c r="C27" s="97" t="s">
        <v>254</v>
      </c>
      <c r="D27" s="97" t="s">
        <v>64</v>
      </c>
      <c r="E27" s="97" t="str">
        <f t="shared" si="0"/>
        <v>Beverley Smyk</v>
      </c>
      <c r="F27" s="97" t="s">
        <v>54</v>
      </c>
      <c r="G27" s="97" t="s">
        <v>55</v>
      </c>
      <c r="H27" s="97"/>
      <c r="I27" s="97"/>
      <c r="J27" s="97"/>
      <c r="K27" s="97" t="s">
        <v>376</v>
      </c>
      <c r="L27" s="97" t="s">
        <v>199</v>
      </c>
      <c r="M27" s="97"/>
      <c r="N27" s="97"/>
    </row>
    <row r="28" spans="1:14" ht="51.75" customHeight="1" x14ac:dyDescent="0.25">
      <c r="A28" s="97" t="s">
        <v>69</v>
      </c>
      <c r="B28" s="97" t="s">
        <v>70</v>
      </c>
      <c r="C28" s="97" t="s">
        <v>255</v>
      </c>
      <c r="D28" s="97" t="s">
        <v>71</v>
      </c>
      <c r="E28" s="97" t="str">
        <f t="shared" si="0"/>
        <v>Dede Jawde</v>
      </c>
      <c r="F28" s="97" t="s">
        <v>54</v>
      </c>
      <c r="G28" s="97" t="s">
        <v>55</v>
      </c>
      <c r="H28" s="97"/>
      <c r="I28" s="97"/>
      <c r="J28" s="97"/>
      <c r="K28" s="97" t="s">
        <v>376</v>
      </c>
      <c r="L28" s="97" t="s">
        <v>199</v>
      </c>
      <c r="M28" s="97"/>
      <c r="N28" s="97"/>
    </row>
    <row r="29" spans="1:14" ht="87" customHeight="1" x14ac:dyDescent="0.25">
      <c r="A29" s="97" t="s">
        <v>72</v>
      </c>
      <c r="B29" s="97" t="s">
        <v>73</v>
      </c>
      <c r="C29" s="97" t="s">
        <v>256</v>
      </c>
      <c r="D29" s="97" t="s">
        <v>74</v>
      </c>
      <c r="E29" s="97" t="str">
        <f t="shared" si="0"/>
        <v>Jarrod Hakker</v>
      </c>
      <c r="F29" s="97" t="s">
        <v>54</v>
      </c>
      <c r="G29" s="97" t="s">
        <v>55</v>
      </c>
      <c r="H29" s="97"/>
      <c r="I29" s="97"/>
      <c r="J29" s="97"/>
      <c r="K29" s="97" t="s">
        <v>376</v>
      </c>
      <c r="L29" s="97" t="s">
        <v>199</v>
      </c>
      <c r="M29" s="97"/>
      <c r="N29" s="97"/>
    </row>
    <row r="30" spans="1:14" ht="150" x14ac:dyDescent="0.25">
      <c r="A30" s="97" t="s">
        <v>75</v>
      </c>
      <c r="B30" s="97" t="s">
        <v>76</v>
      </c>
      <c r="C30" s="97" t="s">
        <v>256</v>
      </c>
      <c r="D30" s="97" t="s">
        <v>77</v>
      </c>
      <c r="E30" s="97" t="str">
        <f t="shared" si="0"/>
        <v>Deirdre Grier (Ireland)</v>
      </c>
      <c r="F30" s="97" t="s">
        <v>54</v>
      </c>
      <c r="G30" s="97" t="s">
        <v>55</v>
      </c>
      <c r="H30" s="97"/>
      <c r="I30" s="97"/>
      <c r="J30" s="97"/>
      <c r="K30" s="97" t="s">
        <v>376</v>
      </c>
      <c r="L30" s="97" t="s">
        <v>199</v>
      </c>
      <c r="M30" s="97"/>
      <c r="N30" s="97"/>
    </row>
    <row r="31" spans="1:14" ht="150" x14ac:dyDescent="0.25">
      <c r="A31" s="97" t="s">
        <v>78</v>
      </c>
      <c r="B31" s="97" t="s">
        <v>79</v>
      </c>
      <c r="C31" s="97" t="s">
        <v>256</v>
      </c>
      <c r="D31" s="97" t="s">
        <v>257</v>
      </c>
      <c r="E31" s="97" t="str">
        <f t="shared" si="0"/>
        <v>Mavis Chan</v>
      </c>
      <c r="F31" s="97" t="s">
        <v>54</v>
      </c>
      <c r="G31" s="97" t="s">
        <v>55</v>
      </c>
      <c r="H31" s="97"/>
      <c r="I31" s="97"/>
      <c r="J31" s="97"/>
      <c r="K31" s="97" t="s">
        <v>376</v>
      </c>
      <c r="L31" s="97" t="s">
        <v>199</v>
      </c>
      <c r="M31" s="97"/>
      <c r="N31" s="97"/>
    </row>
    <row r="32" spans="1:14" ht="86.65" customHeight="1" x14ac:dyDescent="0.25">
      <c r="A32" s="97" t="s">
        <v>80</v>
      </c>
      <c r="B32" s="97" t="s">
        <v>81</v>
      </c>
      <c r="C32" s="97" t="s">
        <v>258</v>
      </c>
      <c r="D32" s="97" t="s">
        <v>259</v>
      </c>
      <c r="E32" s="97" t="str">
        <f t="shared" si="0"/>
        <v>Beverley Smyk</v>
      </c>
      <c r="F32" s="97" t="s">
        <v>54</v>
      </c>
      <c r="G32" s="97" t="s">
        <v>55</v>
      </c>
      <c r="H32" s="97"/>
      <c r="I32" s="97"/>
      <c r="J32" s="97"/>
      <c r="K32" s="97" t="s">
        <v>97</v>
      </c>
      <c r="L32" s="97" t="s">
        <v>199</v>
      </c>
      <c r="M32" s="97"/>
      <c r="N32" s="97"/>
    </row>
    <row r="33" spans="1:14" ht="75" x14ac:dyDescent="0.25">
      <c r="A33" s="97" t="s">
        <v>82</v>
      </c>
      <c r="B33" s="97" t="s">
        <v>83</v>
      </c>
      <c r="C33" s="97" t="s">
        <v>260</v>
      </c>
      <c r="D33" s="97" t="s">
        <v>71</v>
      </c>
      <c r="E33" s="97" t="str">
        <f t="shared" si="0"/>
        <v>Dede Jawde</v>
      </c>
      <c r="F33" s="97" t="s">
        <v>54</v>
      </c>
      <c r="G33" s="97" t="s">
        <v>55</v>
      </c>
      <c r="H33" s="97"/>
      <c r="I33" s="97"/>
      <c r="J33" s="97"/>
      <c r="K33" s="97" t="s">
        <v>97</v>
      </c>
      <c r="L33" s="97" t="s">
        <v>199</v>
      </c>
      <c r="M33" s="97"/>
      <c r="N33" s="97"/>
    </row>
    <row r="34" spans="1:14" ht="60" x14ac:dyDescent="0.25">
      <c r="A34" s="97" t="s">
        <v>84</v>
      </c>
      <c r="B34" s="97" t="s">
        <v>85</v>
      </c>
      <c r="C34" s="97" t="s">
        <v>261</v>
      </c>
      <c r="D34" s="97" t="s">
        <v>74</v>
      </c>
      <c r="E34" s="97" t="str">
        <f t="shared" si="0"/>
        <v>Jarrod Hakker</v>
      </c>
      <c r="F34" s="97" t="s">
        <v>54</v>
      </c>
      <c r="G34" s="97" t="s">
        <v>55</v>
      </c>
      <c r="H34" s="97"/>
      <c r="I34" s="97"/>
      <c r="J34" s="97"/>
      <c r="K34" s="97" t="s">
        <v>97</v>
      </c>
      <c r="L34" s="97" t="s">
        <v>199</v>
      </c>
      <c r="M34" s="97"/>
      <c r="N34" s="97"/>
    </row>
    <row r="35" spans="1:14" ht="75" x14ac:dyDescent="0.25">
      <c r="A35" s="97" t="s">
        <v>86</v>
      </c>
      <c r="B35" s="97" t="s">
        <v>87</v>
      </c>
      <c r="C35" s="97" t="s">
        <v>262</v>
      </c>
      <c r="D35" s="97" t="s">
        <v>88</v>
      </c>
      <c r="E35" s="97" t="str">
        <f t="shared" si="0"/>
        <v>Emer Keating</v>
      </c>
      <c r="F35" s="97" t="s">
        <v>54</v>
      </c>
      <c r="G35" s="97" t="s">
        <v>55</v>
      </c>
      <c r="H35" s="97"/>
      <c r="I35" s="97"/>
      <c r="J35" s="97"/>
      <c r="K35" s="97" t="s">
        <v>97</v>
      </c>
      <c r="L35" s="97" t="s">
        <v>199</v>
      </c>
      <c r="M35" s="97"/>
      <c r="N35" s="97"/>
    </row>
    <row r="36" spans="1:14" ht="60" x14ac:dyDescent="0.25">
      <c r="A36" s="97" t="s">
        <v>89</v>
      </c>
      <c r="B36" s="97" t="s">
        <v>90</v>
      </c>
      <c r="C36" s="97" t="s">
        <v>263</v>
      </c>
      <c r="D36" s="97" t="s">
        <v>91</v>
      </c>
      <c r="E36" s="97" t="str">
        <f t="shared" si="0"/>
        <v>Natarajan Hariharan</v>
      </c>
      <c r="F36" s="97" t="s">
        <v>54</v>
      </c>
      <c r="G36" s="97" t="s">
        <v>55</v>
      </c>
      <c r="H36" s="97"/>
      <c r="I36" s="97"/>
      <c r="J36" s="97"/>
      <c r="K36" s="97" t="s">
        <v>97</v>
      </c>
      <c r="L36" s="97" t="s">
        <v>199</v>
      </c>
      <c r="M36" s="97"/>
      <c r="N36" s="97"/>
    </row>
    <row r="37" spans="1:14" ht="90" x14ac:dyDescent="0.25">
      <c r="A37" s="97" t="s">
        <v>92</v>
      </c>
      <c r="B37" s="97" t="s">
        <v>93</v>
      </c>
      <c r="C37" s="97" t="s">
        <v>264</v>
      </c>
      <c r="D37" s="97" t="s">
        <v>265</v>
      </c>
      <c r="E37" s="97" t="str">
        <f t="shared" si="0"/>
        <v>Sally Kwon</v>
      </c>
      <c r="F37" s="97" t="s">
        <v>94</v>
      </c>
      <c r="G37" s="97" t="s">
        <v>95</v>
      </c>
      <c r="H37" s="97" t="s">
        <v>386</v>
      </c>
      <c r="I37" s="97" t="s">
        <v>266</v>
      </c>
      <c r="J37" s="97"/>
      <c r="K37" s="97" t="s">
        <v>378</v>
      </c>
      <c r="L37" s="97" t="s">
        <v>199</v>
      </c>
      <c r="M37" s="97"/>
      <c r="N37" s="97"/>
    </row>
    <row r="38" spans="1:14" ht="60" x14ac:dyDescent="0.25">
      <c r="A38" s="97" t="s">
        <v>96</v>
      </c>
      <c r="B38" s="97" t="s">
        <v>97</v>
      </c>
      <c r="C38" s="97" t="s">
        <v>267</v>
      </c>
      <c r="D38" s="97" t="s">
        <v>268</v>
      </c>
      <c r="E38" s="97" t="str">
        <f t="shared" ref="E38:E69" si="1">IF(D38="","",TRIM(IFERROR(_xlfn.TEXTBEFORE(D38,","),D38)))</f>
        <v>Sally Kwon</v>
      </c>
      <c r="F38" s="97" t="s">
        <v>94</v>
      </c>
      <c r="G38" s="97" t="s">
        <v>95</v>
      </c>
      <c r="H38" s="97" t="s">
        <v>387</v>
      </c>
      <c r="I38" s="97" t="s">
        <v>269</v>
      </c>
      <c r="J38" s="97" t="s">
        <v>270</v>
      </c>
      <c r="K38" s="97" t="s">
        <v>97</v>
      </c>
      <c r="L38" s="97" t="s">
        <v>199</v>
      </c>
      <c r="M38" s="97"/>
      <c r="N38" s="97"/>
    </row>
    <row r="39" spans="1:14" ht="75" x14ac:dyDescent="0.25">
      <c r="A39" s="97" t="s">
        <v>98</v>
      </c>
      <c r="B39" s="97" t="s">
        <v>99</v>
      </c>
      <c r="C39" s="97" t="s">
        <v>271</v>
      </c>
      <c r="D39" s="97" t="s">
        <v>272</v>
      </c>
      <c r="E39" s="97" t="str">
        <f t="shared" si="1"/>
        <v>Yvonne Chang</v>
      </c>
      <c r="F39" s="97" t="s">
        <v>94</v>
      </c>
      <c r="G39" s="97" t="s">
        <v>95</v>
      </c>
      <c r="H39" s="97" t="s">
        <v>388</v>
      </c>
      <c r="I39" s="97"/>
      <c r="J39" s="97" t="s">
        <v>273</v>
      </c>
      <c r="K39" s="97" t="s">
        <v>379</v>
      </c>
      <c r="L39" s="97" t="s">
        <v>199</v>
      </c>
      <c r="M39" s="97"/>
      <c r="N39" s="97"/>
    </row>
    <row r="40" spans="1:14" ht="259.89999999999998" customHeight="1" x14ac:dyDescent="0.25">
      <c r="A40" s="97" t="s">
        <v>100</v>
      </c>
      <c r="B40" s="97" t="s">
        <v>66</v>
      </c>
      <c r="C40" s="97" t="s">
        <v>274</v>
      </c>
      <c r="D40" s="97" t="s">
        <v>275</v>
      </c>
      <c r="E40" s="97" t="str">
        <f t="shared" si="1"/>
        <v>Yvonne Chang</v>
      </c>
      <c r="F40" s="97" t="s">
        <v>94</v>
      </c>
      <c r="G40" s="97" t="s">
        <v>95</v>
      </c>
      <c r="H40" s="97"/>
      <c r="I40" s="97" t="s">
        <v>276</v>
      </c>
      <c r="J40" s="97" t="s">
        <v>277</v>
      </c>
      <c r="K40" s="97" t="s">
        <v>378</v>
      </c>
      <c r="L40" s="97" t="s">
        <v>199</v>
      </c>
      <c r="M40" s="97"/>
      <c r="N40" s="97"/>
    </row>
    <row r="41" spans="1:14" ht="43.15" customHeight="1" x14ac:dyDescent="0.25">
      <c r="A41" s="97" t="s">
        <v>101</v>
      </c>
      <c r="B41" s="97" t="s">
        <v>102</v>
      </c>
      <c r="C41" s="97" t="s">
        <v>278</v>
      </c>
      <c r="D41" s="97" t="s">
        <v>279</v>
      </c>
      <c r="E41" s="97" t="str">
        <f t="shared" si="1"/>
        <v>Yvonne Chang</v>
      </c>
      <c r="F41" s="97" t="s">
        <v>94</v>
      </c>
      <c r="G41" s="97" t="s">
        <v>95</v>
      </c>
      <c r="H41" s="97"/>
      <c r="I41" s="97" t="s">
        <v>276</v>
      </c>
      <c r="J41" s="97"/>
      <c r="K41" s="97" t="s">
        <v>378</v>
      </c>
      <c r="L41" s="97" t="s">
        <v>199</v>
      </c>
      <c r="M41" s="97"/>
      <c r="N41" s="97"/>
    </row>
    <row r="42" spans="1:14" ht="90" x14ac:dyDescent="0.25">
      <c r="A42" s="97" t="s">
        <v>103</v>
      </c>
      <c r="B42" s="97" t="s">
        <v>104</v>
      </c>
      <c r="C42" s="97" t="s">
        <v>280</v>
      </c>
      <c r="D42" s="97" t="s">
        <v>105</v>
      </c>
      <c r="E42" s="97" t="str">
        <f t="shared" si="1"/>
        <v>Kevin Fabian</v>
      </c>
      <c r="F42" s="97" t="s">
        <v>94</v>
      </c>
      <c r="G42" s="97" t="s">
        <v>95</v>
      </c>
      <c r="H42" s="97" t="s">
        <v>381</v>
      </c>
      <c r="I42" s="97"/>
      <c r="J42" s="97"/>
      <c r="K42" s="97" t="s">
        <v>382</v>
      </c>
      <c r="L42" s="97" t="s">
        <v>199</v>
      </c>
      <c r="M42" s="97"/>
      <c r="N42" s="97"/>
    </row>
    <row r="43" spans="1:14" ht="43.15" customHeight="1" x14ac:dyDescent="0.25">
      <c r="A43" s="97" t="s">
        <v>106</v>
      </c>
      <c r="B43" s="97" t="s">
        <v>107</v>
      </c>
      <c r="C43" s="97" t="s">
        <v>281</v>
      </c>
      <c r="D43" s="97" t="s">
        <v>282</v>
      </c>
      <c r="E43" s="97" t="str">
        <f t="shared" si="1"/>
        <v>Alain Camirand</v>
      </c>
      <c r="F43" s="97" t="s">
        <v>94</v>
      </c>
      <c r="G43" s="97" t="s">
        <v>108</v>
      </c>
      <c r="H43" s="97" t="s">
        <v>107</v>
      </c>
      <c r="I43" s="97"/>
      <c r="J43" s="97" t="s">
        <v>283</v>
      </c>
      <c r="K43" s="97" t="s">
        <v>108</v>
      </c>
      <c r="L43" s="97" t="s">
        <v>199</v>
      </c>
      <c r="M43" s="97"/>
      <c r="N43" s="97"/>
    </row>
    <row r="44" spans="1:14" ht="60" x14ac:dyDescent="0.25">
      <c r="A44" s="97" t="s">
        <v>109</v>
      </c>
      <c r="B44" s="97" t="s">
        <v>110</v>
      </c>
      <c r="C44" s="97" t="s">
        <v>284</v>
      </c>
      <c r="D44" s="97" t="s">
        <v>285</v>
      </c>
      <c r="E44" s="97" t="str">
        <f t="shared" si="1"/>
        <v>Chris Johnson</v>
      </c>
      <c r="F44" s="97" t="s">
        <v>27</v>
      </c>
      <c r="G44" s="97" t="s">
        <v>111</v>
      </c>
      <c r="H44" s="97"/>
      <c r="I44" s="97"/>
      <c r="J44" s="97"/>
      <c r="K44" s="97" t="s">
        <v>382</v>
      </c>
      <c r="L44" s="97" t="s">
        <v>199</v>
      </c>
      <c r="M44" s="97"/>
      <c r="N44" s="97"/>
    </row>
    <row r="45" spans="1:14" ht="60" x14ac:dyDescent="0.25">
      <c r="A45" s="97" t="s">
        <v>112</v>
      </c>
      <c r="B45" s="97" t="s">
        <v>113</v>
      </c>
      <c r="C45" s="97" t="s">
        <v>286</v>
      </c>
      <c r="D45" s="97" t="s">
        <v>114</v>
      </c>
      <c r="E45" s="97" t="str">
        <f t="shared" si="1"/>
        <v>Steven Sones</v>
      </c>
      <c r="F45" s="97" t="s">
        <v>115</v>
      </c>
      <c r="G45" s="97" t="s">
        <v>111</v>
      </c>
      <c r="H45" s="97"/>
      <c r="I45" s="97"/>
      <c r="J45" s="97"/>
      <c r="K45" s="97" t="s">
        <v>379</v>
      </c>
      <c r="L45" s="97" t="s">
        <v>199</v>
      </c>
      <c r="M45" s="97"/>
      <c r="N45" s="97"/>
    </row>
    <row r="46" spans="1:14" ht="45" x14ac:dyDescent="0.25">
      <c r="A46" s="97" t="s">
        <v>116</v>
      </c>
      <c r="B46" s="97" t="s">
        <v>117</v>
      </c>
      <c r="C46" s="97" t="s">
        <v>287</v>
      </c>
      <c r="D46" s="97" t="s">
        <v>288</v>
      </c>
      <c r="E46" s="97" t="str">
        <f t="shared" si="1"/>
        <v>Stephanie Price</v>
      </c>
      <c r="F46" s="97" t="s">
        <v>118</v>
      </c>
      <c r="G46" s="97" t="s">
        <v>119</v>
      </c>
      <c r="H46" s="97"/>
      <c r="I46" s="97" t="s">
        <v>224</v>
      </c>
      <c r="J46" s="97" t="s">
        <v>289</v>
      </c>
      <c r="K46" s="97" t="s">
        <v>126</v>
      </c>
      <c r="L46" s="97" t="s">
        <v>199</v>
      </c>
      <c r="M46" s="97" t="s">
        <v>226</v>
      </c>
      <c r="N46" s="97"/>
    </row>
    <row r="47" spans="1:14" ht="75" x14ac:dyDescent="0.25">
      <c r="A47" s="97" t="s">
        <v>120</v>
      </c>
      <c r="B47" s="97" t="s">
        <v>121</v>
      </c>
      <c r="C47" s="97" t="s">
        <v>290</v>
      </c>
      <c r="D47" s="97" t="s">
        <v>291</v>
      </c>
      <c r="E47" s="97" t="str">
        <f t="shared" si="1"/>
        <v>Dina Maxwell</v>
      </c>
      <c r="F47" s="97" t="s">
        <v>31</v>
      </c>
      <c r="G47" s="97" t="s">
        <v>122</v>
      </c>
      <c r="H47" s="97" t="s">
        <v>224</v>
      </c>
      <c r="I47" s="97" t="s">
        <v>224</v>
      </c>
      <c r="J47" s="97" t="s">
        <v>292</v>
      </c>
      <c r="K47" s="97" t="s">
        <v>122</v>
      </c>
      <c r="L47" s="97" t="s">
        <v>226</v>
      </c>
      <c r="M47" s="97" t="s">
        <v>226</v>
      </c>
      <c r="N47" s="97"/>
    </row>
    <row r="48" spans="1:14" ht="21.4" customHeight="1" x14ac:dyDescent="0.25">
      <c r="A48" s="97" t="s">
        <v>123</v>
      </c>
      <c r="B48" s="97" t="s">
        <v>124</v>
      </c>
      <c r="C48" s="97" t="s">
        <v>293</v>
      </c>
      <c r="D48" s="97" t="s">
        <v>125</v>
      </c>
      <c r="E48" s="97" t="str">
        <f t="shared" si="1"/>
        <v>Ursula Iten-Mcgrath</v>
      </c>
      <c r="F48" s="97" t="s">
        <v>31</v>
      </c>
      <c r="G48" s="97" t="s">
        <v>126</v>
      </c>
      <c r="H48" s="97" t="s">
        <v>224</v>
      </c>
      <c r="I48" s="97" t="s">
        <v>224</v>
      </c>
      <c r="J48" s="97" t="s">
        <v>294</v>
      </c>
      <c r="K48" s="97" t="s">
        <v>126</v>
      </c>
      <c r="L48" s="97" t="s">
        <v>226</v>
      </c>
      <c r="M48" s="97" t="s">
        <v>226</v>
      </c>
      <c r="N48" s="97"/>
    </row>
    <row r="49" spans="1:14" ht="60" x14ac:dyDescent="0.25">
      <c r="A49" s="97" t="s">
        <v>127</v>
      </c>
      <c r="B49" s="97" t="s">
        <v>128</v>
      </c>
      <c r="C49" s="97" t="s">
        <v>295</v>
      </c>
      <c r="D49" s="97" t="s">
        <v>125</v>
      </c>
      <c r="E49" s="97" t="str">
        <f t="shared" si="1"/>
        <v>Ursula Iten-Mcgrath</v>
      </c>
      <c r="F49" s="97" t="s">
        <v>31</v>
      </c>
      <c r="G49" s="97" t="s">
        <v>126</v>
      </c>
      <c r="H49" s="97" t="s">
        <v>224</v>
      </c>
      <c r="I49" s="97" t="s">
        <v>224</v>
      </c>
      <c r="J49" s="97" t="s">
        <v>296</v>
      </c>
      <c r="K49" s="97" t="s">
        <v>126</v>
      </c>
      <c r="L49" s="97" t="s">
        <v>226</v>
      </c>
      <c r="M49" s="97" t="s">
        <v>226</v>
      </c>
      <c r="N49" s="97"/>
    </row>
    <row r="50" spans="1:14" ht="60" x14ac:dyDescent="0.25">
      <c r="A50" s="97" t="s">
        <v>129</v>
      </c>
      <c r="B50" s="97" t="s">
        <v>130</v>
      </c>
      <c r="C50" s="97" t="s">
        <v>297</v>
      </c>
      <c r="D50" s="97" t="s">
        <v>298</v>
      </c>
      <c r="E50" s="97" t="str">
        <f t="shared" si="1"/>
        <v>Ursula Iten-Mcgrath</v>
      </c>
      <c r="F50" s="97" t="s">
        <v>31</v>
      </c>
      <c r="G50" s="97" t="s">
        <v>126</v>
      </c>
      <c r="H50" s="97"/>
      <c r="I50" s="97" t="s">
        <v>224</v>
      </c>
      <c r="J50" s="97" t="s">
        <v>299</v>
      </c>
      <c r="K50" s="97" t="s">
        <v>126</v>
      </c>
      <c r="L50" s="97" t="s">
        <v>199</v>
      </c>
      <c r="M50" s="97" t="s">
        <v>226</v>
      </c>
      <c r="N50" s="97"/>
    </row>
    <row r="51" spans="1:14" s="53" customFormat="1" ht="114.4" customHeight="1" x14ac:dyDescent="0.25">
      <c r="A51" s="97" t="s">
        <v>131</v>
      </c>
      <c r="B51" s="97" t="s">
        <v>132</v>
      </c>
      <c r="C51" s="97" t="s">
        <v>300</v>
      </c>
      <c r="D51" s="97" t="s">
        <v>301</v>
      </c>
      <c r="E51" s="97" t="str">
        <f t="shared" si="1"/>
        <v>Stephanie Price</v>
      </c>
      <c r="F51" s="97" t="s">
        <v>118</v>
      </c>
      <c r="G51" s="97" t="s">
        <v>119</v>
      </c>
      <c r="H51" s="97" t="s">
        <v>224</v>
      </c>
      <c r="I51" s="97" t="s">
        <v>224</v>
      </c>
      <c r="J51" s="97" t="s">
        <v>302</v>
      </c>
      <c r="K51" s="97" t="s">
        <v>126</v>
      </c>
      <c r="L51" s="97" t="s">
        <v>226</v>
      </c>
      <c r="M51" s="97" t="s">
        <v>226</v>
      </c>
      <c r="N51" s="97"/>
    </row>
    <row r="52" spans="1:14" s="58" customFormat="1" ht="45" x14ac:dyDescent="0.25">
      <c r="A52" s="97" t="s">
        <v>133</v>
      </c>
      <c r="B52" s="97" t="s">
        <v>134</v>
      </c>
      <c r="C52" s="97" t="s">
        <v>303</v>
      </c>
      <c r="D52" s="97" t="s">
        <v>304</v>
      </c>
      <c r="E52" s="97" t="str">
        <f t="shared" si="1"/>
        <v>Alain Camirand</v>
      </c>
      <c r="F52" s="97" t="s">
        <v>94</v>
      </c>
      <c r="G52" s="97" t="s">
        <v>108</v>
      </c>
      <c r="H52" s="97" t="s">
        <v>224</v>
      </c>
      <c r="I52" s="97" t="s">
        <v>224</v>
      </c>
      <c r="J52" s="97" t="s">
        <v>305</v>
      </c>
      <c r="K52" s="97" t="s">
        <v>382</v>
      </c>
      <c r="L52" s="97" t="s">
        <v>226</v>
      </c>
      <c r="M52" s="97" t="s">
        <v>226</v>
      </c>
      <c r="N52" s="97"/>
    </row>
    <row r="53" spans="1:14" s="58" customFormat="1" ht="45" x14ac:dyDescent="0.25">
      <c r="A53" s="97" t="s">
        <v>135</v>
      </c>
      <c r="B53" s="97" t="s">
        <v>136</v>
      </c>
      <c r="C53" s="97" t="s">
        <v>136</v>
      </c>
      <c r="D53" s="97" t="s">
        <v>304</v>
      </c>
      <c r="E53" s="97" t="str">
        <f t="shared" si="1"/>
        <v>Alain Camirand</v>
      </c>
      <c r="F53" s="97" t="s">
        <v>94</v>
      </c>
      <c r="G53" s="97" t="s">
        <v>108</v>
      </c>
      <c r="H53" s="97" t="s">
        <v>224</v>
      </c>
      <c r="I53" s="97" t="s">
        <v>224</v>
      </c>
      <c r="J53" s="97" t="s">
        <v>306</v>
      </c>
      <c r="K53" s="97" t="s">
        <v>382</v>
      </c>
      <c r="L53" s="97" t="s">
        <v>226</v>
      </c>
      <c r="M53" s="97" t="s">
        <v>226</v>
      </c>
      <c r="N53" s="97"/>
    </row>
    <row r="54" spans="1:14" ht="60" x14ac:dyDescent="0.25">
      <c r="A54" s="97" t="s">
        <v>137</v>
      </c>
      <c r="B54" s="97" t="s">
        <v>138</v>
      </c>
      <c r="C54" s="97" t="s">
        <v>307</v>
      </c>
      <c r="D54" s="97" t="s">
        <v>308</v>
      </c>
      <c r="E54" s="97" t="str">
        <f t="shared" si="1"/>
        <v>Ursula Iten-Mcgrath</v>
      </c>
      <c r="F54" s="97" t="s">
        <v>31</v>
      </c>
      <c r="G54" s="97" t="s">
        <v>126</v>
      </c>
      <c r="H54" s="97" t="s">
        <v>389</v>
      </c>
      <c r="I54" s="97" t="s">
        <v>309</v>
      </c>
      <c r="J54" s="97" t="s">
        <v>310</v>
      </c>
      <c r="K54" s="97" t="s">
        <v>126</v>
      </c>
      <c r="L54" s="97" t="s">
        <v>226</v>
      </c>
      <c r="M54" s="97" t="s">
        <v>226</v>
      </c>
      <c r="N54" s="97"/>
    </row>
    <row r="55" spans="1:14" s="93" customFormat="1" ht="45" x14ac:dyDescent="0.25">
      <c r="A55" s="97" t="s">
        <v>139</v>
      </c>
      <c r="B55" s="97" t="s">
        <v>140</v>
      </c>
      <c r="C55" s="97" t="s">
        <v>311</v>
      </c>
      <c r="D55" s="97" t="s">
        <v>312</v>
      </c>
      <c r="E55" s="97" t="str">
        <f t="shared" si="1"/>
        <v>Stephanie Price</v>
      </c>
      <c r="F55" s="97" t="s">
        <v>118</v>
      </c>
      <c r="G55" s="97" t="s">
        <v>119</v>
      </c>
      <c r="H55" s="97" t="s">
        <v>224</v>
      </c>
      <c r="I55" s="97" t="s">
        <v>224</v>
      </c>
      <c r="J55" s="97"/>
      <c r="K55" s="97" t="s">
        <v>126</v>
      </c>
      <c r="L55" s="97" t="s">
        <v>226</v>
      </c>
      <c r="M55" s="97" t="s">
        <v>226</v>
      </c>
      <c r="N55" s="97"/>
    </row>
    <row r="56" spans="1:14" ht="90" x14ac:dyDescent="0.25">
      <c r="A56" s="97" t="s">
        <v>141</v>
      </c>
      <c r="B56" s="97" t="s">
        <v>142</v>
      </c>
      <c r="C56" s="97" t="s">
        <v>313</v>
      </c>
      <c r="D56" s="97" t="s">
        <v>314</v>
      </c>
      <c r="E56" s="97" t="str">
        <f t="shared" si="1"/>
        <v>Ursula Iten-Mcgrath</v>
      </c>
      <c r="F56" s="97" t="s">
        <v>31</v>
      </c>
      <c r="G56" s="97" t="s">
        <v>126</v>
      </c>
      <c r="H56" s="97"/>
      <c r="I56" s="97" t="s">
        <v>315</v>
      </c>
      <c r="J56" s="97" t="s">
        <v>316</v>
      </c>
      <c r="K56" s="97" t="s">
        <v>126</v>
      </c>
      <c r="L56" s="97" t="s">
        <v>199</v>
      </c>
      <c r="M56" s="97" t="s">
        <v>226</v>
      </c>
      <c r="N56" s="97"/>
    </row>
    <row r="57" spans="1:14" s="53" customFormat="1" ht="60" x14ac:dyDescent="0.25">
      <c r="A57" s="97" t="s">
        <v>143</v>
      </c>
      <c r="B57" s="97" t="s">
        <v>144</v>
      </c>
      <c r="C57" s="97" t="s">
        <v>317</v>
      </c>
      <c r="D57" s="97" t="s">
        <v>318</v>
      </c>
      <c r="E57" s="97" t="str">
        <f t="shared" si="1"/>
        <v>David Frank</v>
      </c>
      <c r="F57" s="97" t="s">
        <v>31</v>
      </c>
      <c r="G57" s="97" t="s">
        <v>145</v>
      </c>
      <c r="H57" s="97"/>
      <c r="I57" s="97" t="s">
        <v>224</v>
      </c>
      <c r="J57" s="97" t="s">
        <v>319</v>
      </c>
      <c r="K57" s="97" t="s">
        <v>126</v>
      </c>
      <c r="L57" s="97" t="s">
        <v>199</v>
      </c>
      <c r="M57" s="97" t="s">
        <v>226</v>
      </c>
      <c r="N57" s="97"/>
    </row>
    <row r="58" spans="1:14" s="53" customFormat="1" ht="60" x14ac:dyDescent="0.25">
      <c r="A58" s="97" t="s">
        <v>146</v>
      </c>
      <c r="B58" s="97" t="s">
        <v>147</v>
      </c>
      <c r="C58" s="97" t="s">
        <v>320</v>
      </c>
      <c r="D58" s="97" t="s">
        <v>321</v>
      </c>
      <c r="E58" s="97" t="str">
        <f t="shared" si="1"/>
        <v>Jelena Cokorilo</v>
      </c>
      <c r="F58" s="97" t="s">
        <v>7</v>
      </c>
      <c r="G58" s="97" t="s">
        <v>147</v>
      </c>
      <c r="H58" s="97"/>
      <c r="I58" s="97"/>
      <c r="J58" s="97" t="s">
        <v>322</v>
      </c>
      <c r="K58" s="97"/>
      <c r="L58" s="97"/>
      <c r="M58" s="97"/>
      <c r="N58" s="97"/>
    </row>
    <row r="59" spans="1:14" ht="45" x14ac:dyDescent="0.25">
      <c r="A59" s="97" t="s">
        <v>148</v>
      </c>
      <c r="B59" s="97" t="s">
        <v>149</v>
      </c>
      <c r="C59" s="97" t="s">
        <v>323</v>
      </c>
      <c r="D59" s="97" t="s">
        <v>324</v>
      </c>
      <c r="E59" s="97" t="str">
        <f t="shared" si="1"/>
        <v>Mimi Xue</v>
      </c>
      <c r="F59" s="97" t="s">
        <v>14</v>
      </c>
      <c r="G59" s="97" t="s">
        <v>23</v>
      </c>
      <c r="H59" s="97"/>
      <c r="I59" s="97"/>
      <c r="J59" s="97"/>
      <c r="K59" s="97"/>
      <c r="L59" s="97"/>
      <c r="M59" s="97"/>
      <c r="N59" s="97"/>
    </row>
    <row r="60" spans="1:14" ht="75" x14ac:dyDescent="0.25">
      <c r="A60" s="97" t="s">
        <v>150</v>
      </c>
      <c r="B60" s="97" t="s">
        <v>151</v>
      </c>
      <c r="C60" s="97" t="s">
        <v>325</v>
      </c>
      <c r="D60" s="97" t="s">
        <v>326</v>
      </c>
      <c r="E60" s="97" t="str">
        <f t="shared" si="1"/>
        <v>Mimi Xue</v>
      </c>
      <c r="F60" s="97" t="s">
        <v>14</v>
      </c>
      <c r="G60" s="97" t="s">
        <v>23</v>
      </c>
      <c r="H60" s="97"/>
      <c r="I60" s="97"/>
      <c r="J60" s="97"/>
      <c r="K60" s="97"/>
      <c r="L60" s="97"/>
      <c r="M60" s="97"/>
      <c r="N60" s="97"/>
    </row>
    <row r="61" spans="1:14" s="53" customFormat="1" ht="180" x14ac:dyDescent="0.25">
      <c r="A61" s="97" t="s">
        <v>152</v>
      </c>
      <c r="B61" s="97" t="s">
        <v>153</v>
      </c>
      <c r="C61" s="97" t="s">
        <v>327</v>
      </c>
      <c r="D61" s="97" t="s">
        <v>328</v>
      </c>
      <c r="E61" s="97" t="str">
        <f t="shared" si="1"/>
        <v>Shan-shan Bian</v>
      </c>
      <c r="F61" s="97" t="s">
        <v>154</v>
      </c>
      <c r="G61" s="97" t="s">
        <v>155</v>
      </c>
      <c r="H61" s="97"/>
      <c r="I61" s="97" t="s">
        <v>329</v>
      </c>
      <c r="J61" s="97" t="s">
        <v>330</v>
      </c>
      <c r="K61" s="97"/>
      <c r="L61" s="97"/>
      <c r="M61" s="97"/>
      <c r="N61" s="97"/>
    </row>
    <row r="62" spans="1:14" s="53" customFormat="1" ht="30" x14ac:dyDescent="0.25">
      <c r="A62" s="97" t="s">
        <v>156</v>
      </c>
      <c r="B62" s="97" t="s">
        <v>157</v>
      </c>
      <c r="C62" s="97"/>
      <c r="D62" s="97" t="s">
        <v>331</v>
      </c>
      <c r="E62" s="97" t="str">
        <f t="shared" si="1"/>
        <v>Shan-shan Bian</v>
      </c>
      <c r="F62" s="97" t="s">
        <v>154</v>
      </c>
      <c r="G62" s="97" t="s">
        <v>155</v>
      </c>
      <c r="H62" s="97"/>
      <c r="I62" s="97" t="s">
        <v>329</v>
      </c>
      <c r="J62" s="97" t="s">
        <v>332</v>
      </c>
      <c r="K62" s="97"/>
      <c r="L62" s="97"/>
      <c r="M62" s="97"/>
      <c r="N62" s="97"/>
    </row>
    <row r="63" spans="1:14" s="53" customFormat="1" ht="45" x14ac:dyDescent="0.25">
      <c r="A63" s="97" t="s">
        <v>158</v>
      </c>
      <c r="B63" s="97" t="s">
        <v>159</v>
      </c>
      <c r="C63" s="97"/>
      <c r="D63" s="97" t="s">
        <v>333</v>
      </c>
      <c r="E63" s="97" t="str">
        <f t="shared" si="1"/>
        <v>Shan-shan Bian</v>
      </c>
      <c r="F63" s="97" t="s">
        <v>154</v>
      </c>
      <c r="G63" s="97" t="s">
        <v>155</v>
      </c>
      <c r="H63" s="97"/>
      <c r="I63" s="97" t="s">
        <v>329</v>
      </c>
      <c r="J63" s="97" t="s">
        <v>334</v>
      </c>
      <c r="K63" s="97"/>
      <c r="L63" s="97"/>
      <c r="M63" s="97"/>
      <c r="N63" s="97"/>
    </row>
    <row r="64" spans="1:14" s="53" customFormat="1" ht="225" x14ac:dyDescent="0.25">
      <c r="A64" s="97" t="s">
        <v>160</v>
      </c>
      <c r="B64" s="97" t="s">
        <v>161</v>
      </c>
      <c r="C64" s="97" t="s">
        <v>335</v>
      </c>
      <c r="D64" s="97" t="s">
        <v>328</v>
      </c>
      <c r="E64" s="97" t="str">
        <f t="shared" si="1"/>
        <v>Shan-shan Bian</v>
      </c>
      <c r="F64" s="97" t="s">
        <v>154</v>
      </c>
      <c r="G64" s="97" t="s">
        <v>155</v>
      </c>
      <c r="H64" s="97"/>
      <c r="I64" s="97" t="s">
        <v>329</v>
      </c>
      <c r="J64" s="97" t="s">
        <v>336</v>
      </c>
      <c r="K64" s="97"/>
      <c r="L64" s="97"/>
      <c r="M64" s="97"/>
      <c r="N64" s="97"/>
    </row>
    <row r="65" spans="1:14" s="53" customFormat="1" ht="90" x14ac:dyDescent="0.25">
      <c r="A65" s="97" t="s">
        <v>162</v>
      </c>
      <c r="B65" s="97" t="s">
        <v>163</v>
      </c>
      <c r="C65" s="97" t="s">
        <v>337</v>
      </c>
      <c r="D65" s="97" t="s">
        <v>338</v>
      </c>
      <c r="E65" s="97" t="str">
        <f t="shared" si="1"/>
        <v>David Frank</v>
      </c>
      <c r="F65" s="97" t="s">
        <v>14</v>
      </c>
      <c r="G65" s="97" t="s">
        <v>145</v>
      </c>
      <c r="H65" s="97"/>
      <c r="I65" s="97"/>
      <c r="J65" s="97"/>
      <c r="K65" s="97"/>
      <c r="L65" s="97"/>
      <c r="M65" s="97"/>
      <c r="N65" s="97"/>
    </row>
    <row r="66" spans="1:14" s="53" customFormat="1" ht="30" x14ac:dyDescent="0.25">
      <c r="A66" s="97" t="s">
        <v>164</v>
      </c>
      <c r="B66" s="97" t="s">
        <v>165</v>
      </c>
      <c r="C66" s="97" t="s">
        <v>339</v>
      </c>
      <c r="D66" s="97" t="s">
        <v>340</v>
      </c>
      <c r="E66" s="97" t="str">
        <f t="shared" si="1"/>
        <v>David Frank</v>
      </c>
      <c r="F66" s="97" t="s">
        <v>14</v>
      </c>
      <c r="G66" s="97" t="s">
        <v>145</v>
      </c>
      <c r="H66" s="97"/>
      <c r="I66" s="97"/>
      <c r="J66" s="97"/>
      <c r="K66" s="97"/>
      <c r="L66" s="97"/>
      <c r="M66" s="97"/>
      <c r="N66" s="97"/>
    </row>
    <row r="67" spans="1:14" s="53" customFormat="1" ht="90" x14ac:dyDescent="0.25">
      <c r="A67" s="97" t="s">
        <v>166</v>
      </c>
      <c r="B67" s="97" t="s">
        <v>167</v>
      </c>
      <c r="C67" s="97" t="s">
        <v>341</v>
      </c>
      <c r="D67" s="97" t="s">
        <v>342</v>
      </c>
      <c r="E67" s="97" t="str">
        <f t="shared" si="1"/>
        <v>Jelena Cokorilo</v>
      </c>
      <c r="F67" s="97" t="s">
        <v>7</v>
      </c>
      <c r="G67" s="97" t="s">
        <v>168</v>
      </c>
      <c r="H67" s="97"/>
      <c r="I67" s="97"/>
      <c r="J67" s="97" t="s">
        <v>343</v>
      </c>
      <c r="K67" s="97"/>
      <c r="L67" s="97"/>
      <c r="M67" s="97"/>
      <c r="N67" s="97"/>
    </row>
    <row r="68" spans="1:14" s="53" customFormat="1" ht="69.75" customHeight="1" x14ac:dyDescent="0.25">
      <c r="A68" s="97" t="s">
        <v>169</v>
      </c>
      <c r="B68" s="97" t="s">
        <v>170</v>
      </c>
      <c r="C68" s="97" t="s">
        <v>344</v>
      </c>
      <c r="D68" s="97" t="s">
        <v>345</v>
      </c>
      <c r="E68" s="97" t="str">
        <f t="shared" si="1"/>
        <v>Feroz Nasirudin</v>
      </c>
      <c r="F68" s="97" t="s">
        <v>31</v>
      </c>
      <c r="G68" s="97" t="s">
        <v>171</v>
      </c>
      <c r="H68" s="97"/>
      <c r="I68" s="97" t="s">
        <v>346</v>
      </c>
      <c r="J68" s="97" t="s">
        <v>347</v>
      </c>
      <c r="K68" s="97"/>
      <c r="L68" s="97"/>
      <c r="M68" s="97"/>
      <c r="N68" s="97"/>
    </row>
    <row r="69" spans="1:14" s="53" customFormat="1" ht="40.9" customHeight="1" x14ac:dyDescent="0.25">
      <c r="A69" s="97" t="s">
        <v>172</v>
      </c>
      <c r="B69" s="97" t="s">
        <v>97</v>
      </c>
      <c r="C69" s="97" t="s">
        <v>267</v>
      </c>
      <c r="D69" s="97" t="s">
        <v>272</v>
      </c>
      <c r="E69" s="97" t="str">
        <f t="shared" si="1"/>
        <v>Yvonne Chang</v>
      </c>
      <c r="F69" s="97" t="s">
        <v>94</v>
      </c>
      <c r="G69" s="97" t="s">
        <v>95</v>
      </c>
      <c r="H69" s="97" t="s">
        <v>390</v>
      </c>
      <c r="I69" s="97"/>
      <c r="J69" s="97" t="s">
        <v>348</v>
      </c>
      <c r="K69" s="97" t="s">
        <v>97</v>
      </c>
      <c r="L69" s="97" t="s">
        <v>199</v>
      </c>
      <c r="M69" s="97"/>
      <c r="N69" s="97"/>
    </row>
    <row r="70" spans="1:14" s="53" customFormat="1" ht="60" x14ac:dyDescent="0.25">
      <c r="A70" s="97" t="s">
        <v>173</v>
      </c>
      <c r="B70" s="97" t="s">
        <v>174</v>
      </c>
      <c r="C70" s="97" t="s">
        <v>349</v>
      </c>
      <c r="D70" s="97" t="s">
        <v>350</v>
      </c>
      <c r="E70" s="97" t="str">
        <f t="shared" ref="E70:E101" si="2">IF(D70="","",TRIM(IFERROR(_xlfn.TEXTBEFORE(D70,","),D70)))</f>
        <v>Yvonne Chang</v>
      </c>
      <c r="F70" s="97" t="s">
        <v>94</v>
      </c>
      <c r="G70" s="97" t="s">
        <v>95</v>
      </c>
      <c r="H70" s="97"/>
      <c r="I70" s="97" t="s">
        <v>351</v>
      </c>
      <c r="J70" s="97" t="s">
        <v>352</v>
      </c>
      <c r="K70" s="97"/>
      <c r="L70" s="97"/>
      <c r="M70" s="97"/>
      <c r="N70" s="97"/>
    </row>
    <row r="71" spans="1:14" s="53" customFormat="1" ht="45" x14ac:dyDescent="0.25">
      <c r="A71" s="97" t="s">
        <v>175</v>
      </c>
      <c r="B71" s="97" t="s">
        <v>176</v>
      </c>
      <c r="C71" s="97" t="s">
        <v>353</v>
      </c>
      <c r="D71" s="97" t="s">
        <v>354</v>
      </c>
      <c r="E71" s="97" t="str">
        <f t="shared" si="2"/>
        <v>Yvonne Chang</v>
      </c>
      <c r="F71" s="97" t="s">
        <v>94</v>
      </c>
      <c r="G71" s="97" t="s">
        <v>95</v>
      </c>
      <c r="H71" s="97"/>
      <c r="I71" s="97"/>
      <c r="J71" s="97" t="s">
        <v>355</v>
      </c>
      <c r="K71" s="97"/>
      <c r="L71" s="97"/>
      <c r="M71" s="97"/>
      <c r="N71" s="97"/>
    </row>
    <row r="72" spans="1:14" s="53" customFormat="1" ht="30" x14ac:dyDescent="0.25">
      <c r="A72" s="97" t="s">
        <v>177</v>
      </c>
      <c r="B72" s="97" t="s">
        <v>178</v>
      </c>
      <c r="C72" s="97" t="s">
        <v>178</v>
      </c>
      <c r="D72" s="97" t="s">
        <v>354</v>
      </c>
      <c r="E72" s="97" t="str">
        <f t="shared" si="2"/>
        <v>Yvonne Chang</v>
      </c>
      <c r="F72" s="97" t="s">
        <v>94</v>
      </c>
      <c r="G72" s="97" t="s">
        <v>95</v>
      </c>
      <c r="H72" s="97"/>
      <c r="I72" s="97"/>
      <c r="J72" s="97" t="s">
        <v>356</v>
      </c>
      <c r="K72" s="97"/>
      <c r="L72" s="97"/>
      <c r="M72" s="97"/>
      <c r="N72" s="97"/>
    </row>
    <row r="73" spans="1:14" s="53" customFormat="1" ht="105" x14ac:dyDescent="0.25">
      <c r="A73" s="97" t="s">
        <v>179</v>
      </c>
      <c r="B73" s="97" t="s">
        <v>180</v>
      </c>
      <c r="C73" s="97" t="s">
        <v>357</v>
      </c>
      <c r="D73" s="97" t="s">
        <v>358</v>
      </c>
      <c r="E73" s="97" t="str">
        <f t="shared" si="2"/>
        <v>David Frank</v>
      </c>
      <c r="F73" s="97" t="s">
        <v>14</v>
      </c>
      <c r="G73" s="97" t="s">
        <v>95</v>
      </c>
      <c r="H73" s="97"/>
      <c r="I73" s="97" t="s">
        <v>359</v>
      </c>
      <c r="J73" s="97" t="s">
        <v>360</v>
      </c>
      <c r="K73" s="97"/>
      <c r="L73" s="97"/>
      <c r="M73" s="97"/>
      <c r="N73" s="97"/>
    </row>
    <row r="74" spans="1:14" s="53" customFormat="1" ht="195" x14ac:dyDescent="0.25">
      <c r="A74" s="97" t="s">
        <v>181</v>
      </c>
      <c r="B74" s="97" t="s">
        <v>182</v>
      </c>
      <c r="C74" s="97" t="s">
        <v>361</v>
      </c>
      <c r="D74" s="97" t="s">
        <v>362</v>
      </c>
      <c r="E74" s="97" t="str">
        <f t="shared" si="2"/>
        <v>Nicki Bricker</v>
      </c>
      <c r="F74" s="97" t="s">
        <v>37</v>
      </c>
      <c r="G74" s="97" t="s">
        <v>38</v>
      </c>
      <c r="H74" s="97"/>
      <c r="I74" s="97" t="s">
        <v>363</v>
      </c>
      <c r="J74" s="97" t="s">
        <v>364</v>
      </c>
      <c r="K74" s="97"/>
      <c r="L74" s="97"/>
      <c r="M74" s="97"/>
      <c r="N74" s="97"/>
    </row>
    <row r="75" spans="1:14" x14ac:dyDescent="0.25">
      <c r="A75" s="97" t="s">
        <v>391</v>
      </c>
      <c r="B75" s="97"/>
      <c r="C75" s="97"/>
      <c r="D75" s="97"/>
      <c r="E75" s="97" t="str">
        <f t="shared" si="2"/>
        <v/>
      </c>
      <c r="F75" s="97"/>
      <c r="G75" s="97"/>
      <c r="H75" s="97"/>
      <c r="I75" s="97"/>
      <c r="J75" s="97"/>
      <c r="K75" s="97"/>
      <c r="L75" s="97"/>
      <c r="M75" s="97"/>
      <c r="N75" s="97"/>
    </row>
    <row r="76" spans="1:14" x14ac:dyDescent="0.25">
      <c r="A76" s="97" t="s">
        <v>392</v>
      </c>
      <c r="B76" s="97"/>
      <c r="C76" s="97"/>
      <c r="D76" s="97"/>
      <c r="E76" s="97" t="str">
        <f t="shared" si="2"/>
        <v/>
      </c>
      <c r="F76" s="97"/>
      <c r="G76" s="97"/>
      <c r="H76" s="97"/>
      <c r="I76" s="97"/>
      <c r="J76" s="97"/>
      <c r="K76" s="97"/>
      <c r="L76" s="97"/>
      <c r="M76" s="97"/>
      <c r="N76" s="97"/>
    </row>
    <row r="77" spans="1:14" x14ac:dyDescent="0.25">
      <c r="A77" s="97" t="s">
        <v>393</v>
      </c>
      <c r="B77" s="97"/>
      <c r="C77" s="97"/>
      <c r="D77" s="97"/>
      <c r="E77" s="97" t="str">
        <f t="shared" si="2"/>
        <v/>
      </c>
      <c r="F77" s="97"/>
      <c r="G77" s="97"/>
      <c r="H77" s="97"/>
      <c r="I77" s="97"/>
      <c r="J77" s="97"/>
      <c r="K77" s="97"/>
      <c r="L77" s="97"/>
      <c r="M77" s="97"/>
      <c r="N77" s="97"/>
    </row>
    <row r="78" spans="1:14" x14ac:dyDescent="0.25">
      <c r="A78" s="97" t="s">
        <v>394</v>
      </c>
      <c r="B78" s="97"/>
      <c r="C78" s="97"/>
      <c r="D78" s="97"/>
      <c r="E78" s="97" t="str">
        <f t="shared" si="2"/>
        <v/>
      </c>
      <c r="F78" s="97"/>
      <c r="G78" s="97"/>
      <c r="H78" s="97"/>
      <c r="I78" s="97"/>
      <c r="J78" s="97"/>
      <c r="K78" s="97"/>
      <c r="L78" s="97"/>
      <c r="M78" s="97"/>
      <c r="N78" s="97"/>
    </row>
    <row r="79" spans="1:14" x14ac:dyDescent="0.25">
      <c r="A79" s="97" t="s">
        <v>395</v>
      </c>
      <c r="B79" s="97"/>
      <c r="C79" s="97"/>
      <c r="D79" s="97"/>
      <c r="E79" s="97" t="str">
        <f t="shared" si="2"/>
        <v/>
      </c>
      <c r="F79" s="97"/>
      <c r="G79" s="97"/>
      <c r="H79" s="97"/>
      <c r="I79" s="97"/>
      <c r="J79" s="97"/>
      <c r="K79" s="97"/>
      <c r="L79" s="97"/>
      <c r="M79" s="97"/>
      <c r="N79" s="97"/>
    </row>
    <row r="80" spans="1:14" x14ac:dyDescent="0.25">
      <c r="A80" s="97" t="s">
        <v>396</v>
      </c>
      <c r="B80" s="97"/>
      <c r="C80" s="97"/>
      <c r="D80" s="97"/>
      <c r="E80" s="97" t="str">
        <f t="shared" si="2"/>
        <v/>
      </c>
      <c r="F80" s="97"/>
      <c r="G80" s="97"/>
      <c r="H80" s="97"/>
      <c r="I80" s="97"/>
      <c r="J80" s="97"/>
      <c r="K80" s="97"/>
      <c r="L80" s="97"/>
      <c r="M80" s="97"/>
      <c r="N80" s="97"/>
    </row>
    <row r="81" spans="1:14" x14ac:dyDescent="0.25">
      <c r="A81" s="97" t="s">
        <v>397</v>
      </c>
      <c r="B81" s="97"/>
      <c r="C81" s="97"/>
      <c r="D81" s="97"/>
      <c r="E81" s="97" t="str">
        <f t="shared" si="2"/>
        <v/>
      </c>
      <c r="F81" s="97"/>
      <c r="G81" s="97"/>
      <c r="H81" s="97"/>
      <c r="I81" s="97"/>
      <c r="J81" s="97"/>
      <c r="K81" s="97"/>
      <c r="L81" s="97"/>
      <c r="M81" s="97"/>
      <c r="N81" s="97"/>
    </row>
    <row r="82" spans="1:14" x14ac:dyDescent="0.25">
      <c r="A82" s="97" t="s">
        <v>398</v>
      </c>
      <c r="B82" s="97"/>
      <c r="C82" s="97"/>
      <c r="D82" s="97"/>
      <c r="E82" s="97" t="str">
        <f t="shared" si="2"/>
        <v/>
      </c>
      <c r="F82" s="97"/>
      <c r="G82" s="97"/>
      <c r="H82" s="97"/>
      <c r="I82" s="97"/>
      <c r="J82" s="97"/>
      <c r="K82" s="97"/>
      <c r="L82" s="97"/>
      <c r="M82" s="97"/>
      <c r="N82" s="97"/>
    </row>
    <row r="83" spans="1:14" x14ac:dyDescent="0.25">
      <c r="A83" s="97"/>
      <c r="B83" s="97"/>
      <c r="C83" s="97"/>
      <c r="D83" s="97"/>
      <c r="E83" s="97" t="str">
        <f t="shared" si="2"/>
        <v/>
      </c>
      <c r="F83" s="97"/>
      <c r="G83" s="97"/>
      <c r="H83" s="97"/>
      <c r="I83" s="97"/>
      <c r="J83" s="97"/>
      <c r="K83" s="97"/>
      <c r="L83" s="97"/>
      <c r="M83" s="97"/>
      <c r="N83" s="97"/>
    </row>
    <row r="84" spans="1:14" x14ac:dyDescent="0.25">
      <c r="A84" s="97"/>
      <c r="B84" s="97"/>
      <c r="C84" s="97"/>
      <c r="D84" s="97"/>
      <c r="E84" s="97" t="str">
        <f t="shared" si="2"/>
        <v/>
      </c>
      <c r="F84" s="97"/>
      <c r="G84" s="97"/>
      <c r="H84" s="97"/>
      <c r="I84" s="97"/>
      <c r="J84" s="97"/>
      <c r="K84" s="97"/>
      <c r="L84" s="97"/>
      <c r="M84" s="97"/>
      <c r="N84" s="97"/>
    </row>
    <row r="85" spans="1:14" x14ac:dyDescent="0.25">
      <c r="A85" s="97"/>
      <c r="B85" s="97"/>
      <c r="C85" s="97"/>
      <c r="D85" s="97"/>
      <c r="E85" s="97" t="str">
        <f t="shared" si="2"/>
        <v/>
      </c>
      <c r="F85" s="97"/>
      <c r="G85" s="97"/>
      <c r="H85" s="97"/>
      <c r="I85" s="97"/>
      <c r="J85" s="97"/>
      <c r="K85" s="97"/>
      <c r="L85" s="97"/>
      <c r="M85" s="97"/>
      <c r="N85" s="97"/>
    </row>
    <row r="86" spans="1:14" x14ac:dyDescent="0.25">
      <c r="A86" s="97"/>
      <c r="B86" s="97"/>
      <c r="C86" s="97"/>
      <c r="D86" s="97"/>
      <c r="E86" s="97" t="str">
        <f t="shared" si="2"/>
        <v/>
      </c>
      <c r="F86" s="97"/>
      <c r="G86" s="97"/>
      <c r="H86" s="97"/>
      <c r="I86" s="97"/>
      <c r="J86" s="97"/>
      <c r="K86" s="97"/>
      <c r="L86" s="97"/>
      <c r="M86" s="97"/>
      <c r="N86" s="97"/>
    </row>
    <row r="87" spans="1:14" x14ac:dyDescent="0.25">
      <c r="A87" s="97"/>
      <c r="B87" s="97"/>
      <c r="C87" s="97"/>
      <c r="D87" s="97"/>
      <c r="E87" s="97" t="str">
        <f t="shared" si="2"/>
        <v/>
      </c>
      <c r="F87" s="97"/>
      <c r="G87" s="97"/>
      <c r="H87" s="97"/>
      <c r="I87" s="97"/>
      <c r="J87" s="97"/>
      <c r="K87" s="97"/>
      <c r="L87" s="97"/>
      <c r="M87" s="97"/>
      <c r="N87" s="97"/>
    </row>
    <row r="88" spans="1:14" x14ac:dyDescent="0.25">
      <c r="A88" s="97"/>
      <c r="B88" s="97"/>
      <c r="C88" s="97"/>
      <c r="D88" s="97"/>
      <c r="E88" s="97" t="str">
        <f t="shared" si="2"/>
        <v/>
      </c>
      <c r="F88" s="97"/>
      <c r="G88" s="97"/>
      <c r="H88" s="97"/>
      <c r="I88" s="97"/>
      <c r="J88" s="97"/>
      <c r="K88" s="97"/>
      <c r="L88" s="97"/>
      <c r="M88" s="97"/>
      <c r="N88" s="97"/>
    </row>
    <row r="89" spans="1:14" x14ac:dyDescent="0.25">
      <c r="A89" s="97"/>
      <c r="B89" s="97"/>
      <c r="C89" s="97"/>
      <c r="D89" s="97"/>
      <c r="E89" s="97" t="str">
        <f t="shared" si="2"/>
        <v/>
      </c>
      <c r="F89" s="97"/>
      <c r="G89" s="97"/>
      <c r="H89" s="97"/>
      <c r="I89" s="97"/>
      <c r="J89" s="97"/>
      <c r="K89" s="97"/>
      <c r="L89" s="97"/>
      <c r="M89" s="97"/>
      <c r="N89" s="97"/>
    </row>
    <row r="90" spans="1:14" x14ac:dyDescent="0.25">
      <c r="A90" s="97"/>
      <c r="B90" s="97"/>
      <c r="C90" s="97"/>
      <c r="D90" s="97"/>
      <c r="E90" s="97" t="str">
        <f t="shared" si="2"/>
        <v/>
      </c>
      <c r="F90" s="97"/>
      <c r="G90" s="97"/>
      <c r="H90" s="97"/>
      <c r="I90" s="97"/>
      <c r="J90" s="97"/>
      <c r="K90" s="97"/>
      <c r="L90" s="97"/>
      <c r="M90" s="97"/>
      <c r="N90" s="97"/>
    </row>
    <row r="91" spans="1:14" x14ac:dyDescent="0.25">
      <c r="A91" s="97"/>
      <c r="B91" s="97"/>
      <c r="C91" s="97"/>
      <c r="D91" s="97"/>
      <c r="E91" s="97" t="str">
        <f t="shared" si="2"/>
        <v/>
      </c>
      <c r="F91" s="97"/>
      <c r="G91" s="97"/>
      <c r="H91" s="97"/>
      <c r="I91" s="97"/>
      <c r="J91" s="97"/>
      <c r="K91" s="97"/>
      <c r="L91" s="97"/>
      <c r="M91" s="97"/>
      <c r="N91" s="97"/>
    </row>
    <row r="92" spans="1:14" x14ac:dyDescent="0.25">
      <c r="A92" s="97"/>
      <c r="B92" s="97"/>
      <c r="C92" s="97"/>
      <c r="D92" s="97"/>
      <c r="E92" s="97" t="str">
        <f t="shared" si="2"/>
        <v/>
      </c>
      <c r="F92" s="97"/>
      <c r="G92" s="97"/>
      <c r="H92" s="97"/>
      <c r="I92" s="97"/>
      <c r="J92" s="97"/>
      <c r="K92" s="97"/>
      <c r="L92" s="97"/>
      <c r="M92" s="97"/>
      <c r="N92" s="97"/>
    </row>
    <row r="93" spans="1:14" x14ac:dyDescent="0.25">
      <c r="A93" s="97"/>
      <c r="B93" s="97"/>
      <c r="C93" s="97"/>
      <c r="D93" s="97"/>
      <c r="E93" s="97" t="str">
        <f t="shared" si="2"/>
        <v/>
      </c>
      <c r="F93" s="97"/>
      <c r="G93" s="97"/>
      <c r="H93" s="97"/>
      <c r="I93" s="97"/>
      <c r="J93" s="97"/>
      <c r="K93" s="97"/>
      <c r="L93" s="97"/>
      <c r="M93" s="97"/>
      <c r="N93" s="97"/>
    </row>
    <row r="94" spans="1:14" x14ac:dyDescent="0.25">
      <c r="A94" s="97"/>
      <c r="B94" s="97"/>
      <c r="C94" s="97"/>
      <c r="D94" s="97"/>
      <c r="E94" s="97" t="str">
        <f t="shared" si="2"/>
        <v/>
      </c>
      <c r="F94" s="97"/>
      <c r="G94" s="97"/>
      <c r="H94" s="97"/>
      <c r="I94" s="97"/>
      <c r="J94" s="97"/>
      <c r="K94" s="97"/>
      <c r="L94" s="97"/>
      <c r="M94" s="97"/>
      <c r="N94" s="97"/>
    </row>
    <row r="95" spans="1:14" x14ac:dyDescent="0.25">
      <c r="A95" s="97"/>
      <c r="B95" s="97"/>
      <c r="C95" s="97"/>
      <c r="D95" s="97"/>
      <c r="E95" s="97" t="str">
        <f t="shared" si="2"/>
        <v/>
      </c>
      <c r="F95" s="97"/>
      <c r="G95" s="97"/>
      <c r="H95" s="97"/>
      <c r="I95" s="97"/>
      <c r="J95" s="97"/>
      <c r="K95" s="97"/>
      <c r="L95" s="97"/>
      <c r="M95" s="97"/>
      <c r="N95" s="97"/>
    </row>
    <row r="96" spans="1:14" x14ac:dyDescent="0.25">
      <c r="A96" s="97"/>
      <c r="B96" s="97"/>
      <c r="C96" s="97"/>
      <c r="D96" s="97"/>
      <c r="E96" s="97" t="str">
        <f t="shared" si="2"/>
        <v/>
      </c>
      <c r="F96" s="97"/>
      <c r="G96" s="97"/>
      <c r="H96" s="97"/>
      <c r="I96" s="97"/>
      <c r="J96" s="97"/>
      <c r="K96" s="97"/>
      <c r="L96" s="97"/>
      <c r="M96" s="97"/>
      <c r="N96" s="97"/>
    </row>
    <row r="97" spans="1:14" x14ac:dyDescent="0.25">
      <c r="A97" s="97"/>
      <c r="B97" s="97"/>
      <c r="C97" s="97"/>
      <c r="D97" s="97"/>
      <c r="E97" s="97" t="str">
        <f t="shared" si="2"/>
        <v/>
      </c>
      <c r="F97" s="97"/>
      <c r="G97" s="97"/>
      <c r="H97" s="97"/>
      <c r="I97" s="97"/>
      <c r="J97" s="97"/>
      <c r="K97" s="97"/>
      <c r="L97" s="97"/>
      <c r="M97" s="97"/>
      <c r="N97" s="97"/>
    </row>
    <row r="98" spans="1:14" x14ac:dyDescent="0.25">
      <c r="A98" s="97"/>
      <c r="B98" s="97"/>
      <c r="C98" s="97"/>
      <c r="D98" s="97"/>
      <c r="E98" s="97" t="str">
        <f t="shared" si="2"/>
        <v/>
      </c>
      <c r="F98" s="97"/>
      <c r="G98" s="97"/>
      <c r="H98" s="97"/>
      <c r="I98" s="97"/>
      <c r="J98" s="97"/>
      <c r="K98" s="97"/>
      <c r="L98" s="97"/>
      <c r="M98" s="97"/>
      <c r="N98" s="97"/>
    </row>
    <row r="99" spans="1:14" x14ac:dyDescent="0.25">
      <c r="A99" s="97"/>
      <c r="B99" s="97"/>
      <c r="C99" s="97"/>
      <c r="D99" s="97"/>
      <c r="E99" s="97" t="str">
        <f t="shared" si="2"/>
        <v/>
      </c>
      <c r="F99" s="97"/>
      <c r="G99" s="97"/>
      <c r="H99" s="97"/>
      <c r="I99" s="97"/>
      <c r="J99" s="97"/>
      <c r="K99" s="97"/>
      <c r="L99" s="97"/>
      <c r="M99" s="97"/>
      <c r="N99" s="97"/>
    </row>
    <row r="100" spans="1:14" x14ac:dyDescent="0.25">
      <c r="A100" s="97"/>
      <c r="B100" s="97"/>
      <c r="C100" s="97"/>
      <c r="D100" s="97"/>
      <c r="E100" s="97" t="str">
        <f t="shared" si="2"/>
        <v/>
      </c>
      <c r="F100" s="97"/>
      <c r="G100" s="97"/>
      <c r="H100" s="97"/>
      <c r="I100" s="97"/>
      <c r="J100" s="97"/>
      <c r="K100" s="97"/>
      <c r="L100" s="97"/>
      <c r="M100" s="97"/>
      <c r="N100" s="97"/>
    </row>
    <row r="101" spans="1:14" x14ac:dyDescent="0.25">
      <c r="A101" s="97"/>
      <c r="B101" s="97"/>
      <c r="C101" s="97"/>
      <c r="D101" s="97"/>
      <c r="E101" s="97" t="str">
        <f t="shared" si="2"/>
        <v/>
      </c>
      <c r="F101" s="97"/>
      <c r="G101" s="97"/>
      <c r="H101" s="97"/>
      <c r="I101" s="97"/>
      <c r="J101" s="97"/>
      <c r="K101" s="97"/>
      <c r="L101" s="97"/>
      <c r="M101" s="97"/>
      <c r="N101" s="97"/>
    </row>
    <row r="102" spans="1:14" x14ac:dyDescent="0.25">
      <c r="A102" s="97"/>
      <c r="B102" s="97"/>
      <c r="C102" s="97"/>
      <c r="D102" s="97"/>
      <c r="E102" s="97" t="str">
        <f t="shared" ref="E102:E107" si="3">IF(D102="","",TRIM(IFERROR(_xlfn.TEXTBEFORE(D102,","),D102)))</f>
        <v/>
      </c>
      <c r="F102" s="97"/>
      <c r="G102" s="97"/>
      <c r="H102" s="97"/>
      <c r="I102" s="97"/>
      <c r="J102" s="97"/>
      <c r="K102" s="97"/>
      <c r="L102" s="97"/>
      <c r="M102" s="97"/>
      <c r="N102" s="97"/>
    </row>
    <row r="103" spans="1:14" x14ac:dyDescent="0.25">
      <c r="A103" s="97"/>
      <c r="B103" s="97"/>
      <c r="C103" s="97"/>
      <c r="D103" s="97"/>
      <c r="E103" s="97" t="str">
        <f t="shared" si="3"/>
        <v/>
      </c>
      <c r="F103" s="97"/>
      <c r="G103" s="97"/>
      <c r="H103" s="97"/>
      <c r="I103" s="97"/>
      <c r="J103" s="97"/>
      <c r="K103" s="97"/>
      <c r="L103" s="97"/>
      <c r="M103" s="97"/>
      <c r="N103" s="97"/>
    </row>
    <row r="104" spans="1:14" x14ac:dyDescent="0.25">
      <c r="A104" s="97"/>
      <c r="B104" s="97"/>
      <c r="C104" s="97"/>
      <c r="D104" s="97"/>
      <c r="E104" s="97" t="str">
        <f t="shared" si="3"/>
        <v/>
      </c>
      <c r="F104" s="97"/>
      <c r="G104" s="97"/>
      <c r="H104" s="97"/>
      <c r="I104" s="97"/>
      <c r="J104" s="97"/>
      <c r="K104" s="97"/>
      <c r="L104" s="97"/>
      <c r="M104" s="97"/>
      <c r="N104" s="97"/>
    </row>
    <row r="105" spans="1:14" x14ac:dyDescent="0.25">
      <c r="A105" s="97"/>
      <c r="B105" s="97"/>
      <c r="C105" s="97"/>
      <c r="D105" s="97"/>
      <c r="E105" s="97" t="str">
        <f t="shared" si="3"/>
        <v/>
      </c>
      <c r="F105" s="97"/>
      <c r="G105" s="97"/>
      <c r="H105" s="97"/>
      <c r="I105" s="97"/>
      <c r="J105" s="97"/>
      <c r="K105" s="97"/>
      <c r="L105" s="97"/>
      <c r="M105" s="97"/>
      <c r="N105" s="97"/>
    </row>
    <row r="106" spans="1:14" x14ac:dyDescent="0.25">
      <c r="A106" s="97"/>
      <c r="B106" s="97"/>
      <c r="C106" s="97"/>
      <c r="D106" s="97"/>
      <c r="E106" s="97" t="str">
        <f t="shared" si="3"/>
        <v/>
      </c>
      <c r="F106" s="97"/>
      <c r="G106" s="97"/>
      <c r="H106" s="97"/>
      <c r="I106" s="97"/>
      <c r="J106" s="97"/>
      <c r="K106" s="97"/>
      <c r="L106" s="97"/>
      <c r="M106" s="97"/>
      <c r="N106" s="97"/>
    </row>
    <row r="107" spans="1:14" x14ac:dyDescent="0.25">
      <c r="A107" s="97"/>
      <c r="B107" s="97" t="s">
        <v>399</v>
      </c>
      <c r="C107" s="97"/>
      <c r="D107" s="97"/>
      <c r="E107" s="97" t="str">
        <f t="shared" si="3"/>
        <v/>
      </c>
      <c r="F107" s="97"/>
      <c r="G107" s="97"/>
      <c r="H107" s="97"/>
      <c r="I107" s="97"/>
      <c r="J107" s="97"/>
      <c r="K107" s="97"/>
      <c r="L107" s="97"/>
      <c r="M107" s="97"/>
      <c r="N107" s="97"/>
    </row>
  </sheetData>
  <autoFilter ref="A5:M107" xr:uid="{C06CFCA2-B0B7-4BF2-A0F9-C7DE4CE399FA}"/>
  <pageMargins left="0.7" right="0.7" top="0.75" bottom="0.75" header="0.3" footer="0.3"/>
  <pageSetup orientation="portrait" r:id="rId1"/>
  <headerFooter>
    <oddFooter>&amp;L&amp;1#&amp;"Calibri"&amp;10&amp;K000000Internal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EF8A0-BA5B-4112-BA15-481E620707FB}">
  <sheetPr filterMode="1">
    <tabColor rgb="FF92D050"/>
  </sheetPr>
  <dimension ref="A1:AI106"/>
  <sheetViews>
    <sheetView topLeftCell="A66" zoomScale="98" zoomScaleNormal="98" workbookViewId="0">
      <selection activeCell="F47" sqref="F47"/>
    </sheetView>
  </sheetViews>
  <sheetFormatPr defaultColWidth="8.85546875" defaultRowHeight="15" x14ac:dyDescent="0.25"/>
  <cols>
    <col min="1" max="1" width="13.85546875" style="69" bestFit="1" customWidth="1"/>
    <col min="2" max="2" width="30.140625" style="24" bestFit="1" customWidth="1"/>
    <col min="3" max="3" width="54.5703125" style="24" customWidth="1"/>
    <col min="4" max="4" width="23.42578125" style="70" bestFit="1" customWidth="1"/>
    <col min="5" max="5" width="23.42578125" style="70" customWidth="1"/>
    <col min="6" max="6" width="16.28515625" style="70" customWidth="1"/>
    <col min="7" max="7" width="40" style="24" bestFit="1" customWidth="1"/>
    <col min="8" max="8" width="22.42578125" style="23" bestFit="1" customWidth="1"/>
    <col min="9" max="9" width="25.5703125" style="24" bestFit="1" customWidth="1"/>
    <col min="10" max="10" width="17.85546875" style="24" bestFit="1" customWidth="1"/>
    <col min="11" max="11" width="15.85546875" style="24" bestFit="1" customWidth="1"/>
    <col min="12" max="12" width="19.5703125" style="24" bestFit="1" customWidth="1"/>
    <col min="13" max="13" width="14.28515625" style="69" bestFit="1" customWidth="1"/>
    <col min="14" max="14" width="15.28515625" style="69" bestFit="1" customWidth="1"/>
    <col min="15" max="15" width="24.140625" style="69" bestFit="1" customWidth="1"/>
    <col min="16" max="16" width="27.140625" style="69" bestFit="1" customWidth="1"/>
    <col min="17" max="17" width="17.85546875" style="69" bestFit="1" customWidth="1"/>
    <col min="18" max="18" width="11.85546875" style="69" bestFit="1" customWidth="1"/>
    <col min="19" max="19" width="21.5703125" style="69" bestFit="1" customWidth="1"/>
    <col min="20" max="20" width="23.85546875" style="69" bestFit="1" customWidth="1"/>
    <col min="21" max="21" width="15" style="24" bestFit="1" customWidth="1"/>
    <col min="22" max="22" width="75.28515625" style="24" bestFit="1" customWidth="1"/>
    <col min="23" max="23" width="54.42578125" style="24" bestFit="1" customWidth="1"/>
    <col min="24" max="24" width="61.42578125" style="24" bestFit="1" customWidth="1"/>
    <col min="25" max="25" width="50" style="24" bestFit="1" customWidth="1"/>
    <col min="26" max="26" width="123.5703125" style="24" bestFit="1" customWidth="1"/>
    <col min="27" max="27" width="82.42578125" style="24" bestFit="1" customWidth="1"/>
    <col min="28" max="28" width="73.42578125" style="24" bestFit="1" customWidth="1"/>
    <col min="29" max="29" width="66.5703125" style="24" bestFit="1" customWidth="1"/>
    <col min="30" max="30" width="41.28515625" style="24" bestFit="1" customWidth="1"/>
    <col min="31" max="31" width="50.85546875" style="24" bestFit="1" customWidth="1"/>
    <col min="32" max="32" width="13.5703125" style="24" bestFit="1" customWidth="1"/>
    <col min="33" max="33" width="24.42578125" style="24" bestFit="1" customWidth="1"/>
    <col min="34" max="34" width="22.28515625" style="24" customWidth="1"/>
    <col min="35" max="35" width="15.42578125" style="24" customWidth="1"/>
    <col min="36" max="36" width="11.42578125" style="24" customWidth="1"/>
    <col min="37" max="16384" width="8.85546875" style="24"/>
  </cols>
  <sheetData>
    <row r="1" spans="1:35" s="7" customFormat="1" ht="25.5" x14ac:dyDescent="0.25">
      <c r="A1" s="1"/>
      <c r="B1" s="2" t="s">
        <v>400</v>
      </c>
      <c r="C1" s="3" t="s">
        <v>401</v>
      </c>
      <c r="D1" s="4"/>
      <c r="E1" s="4"/>
      <c r="F1" s="4"/>
      <c r="G1" s="5"/>
      <c r="H1" s="6"/>
      <c r="I1" s="5"/>
      <c r="J1" s="5"/>
      <c r="K1" s="5"/>
      <c r="L1" s="5"/>
      <c r="M1" s="116" t="s">
        <v>402</v>
      </c>
      <c r="N1" s="116"/>
      <c r="O1" s="116"/>
      <c r="P1" s="116"/>
      <c r="Q1" s="117" t="s">
        <v>403</v>
      </c>
      <c r="R1" s="117"/>
      <c r="S1" s="117"/>
      <c r="T1" s="117"/>
      <c r="U1" s="122" t="s">
        <v>404</v>
      </c>
      <c r="V1" s="124" t="str">
        <f>[4]Weighting!A2</f>
        <v>1) Is there a regulatory/legal requirement driving the prioritization of this process (ask from regulator)?</v>
      </c>
      <c r="W1" s="124" t="str">
        <f>[4]Weighting!A3</f>
        <v>2) Is there an audit or regulatory finding related to the data of this process</v>
      </c>
      <c r="X1" s="124" t="str">
        <f>[4]Weighting!A4</f>
        <v>3) Is there another initiative that prioritizes this process ? (ie reg reporting initiative)</v>
      </c>
      <c r="Y1" s="124" t="str">
        <f>[4]Weighting!A5</f>
        <v>4) Is there regulatory program that impacts multiple LOBs (ie. Basel)</v>
      </c>
      <c r="Z1" s="124" t="str">
        <f>[4]Weighting!A6</f>
        <v>5) Are there on-going/in-inflight projects/programs that will impact this process (if yes the project should have the resources to ensure the data supply chain is complaint)</v>
      </c>
      <c r="AA1" s="124" t="str">
        <f>[4]Weighting!A7</f>
        <v>6) Have upstream data providers implemented the data management standards required to support this process</v>
      </c>
      <c r="AB1" s="124" t="str">
        <f>[4]Weighting!A8</f>
        <v>7) Is the owner of a upstream/downstream process, requesting prioritization of a data supply chain?</v>
      </c>
      <c r="AC1" s="126" t="str">
        <f>[4]Weighting!A9</f>
        <v>8) Are there known material data quality issues and/or pain points involved in the process?</v>
      </c>
      <c r="AD1" s="118" t="str">
        <f>[4]Weighting!A10</f>
        <v>9) Is this a required process that is enterprise-wide?</v>
      </c>
      <c r="AE1" s="120" t="s">
        <v>405</v>
      </c>
      <c r="AF1" s="121"/>
      <c r="AH1" s="8"/>
    </row>
    <row r="2" spans="1:35" s="14" customFormat="1" ht="25.5" x14ac:dyDescent="0.25">
      <c r="A2" s="3" t="s">
        <v>0</v>
      </c>
      <c r="B2" s="3" t="s">
        <v>1</v>
      </c>
      <c r="C2" s="3" t="s">
        <v>186</v>
      </c>
      <c r="D2" s="3" t="s">
        <v>187</v>
      </c>
      <c r="E2" s="3" t="s">
        <v>406</v>
      </c>
      <c r="F2" s="3" t="s">
        <v>3</v>
      </c>
      <c r="G2" s="3" t="s">
        <v>4</v>
      </c>
      <c r="H2" s="3" t="s">
        <v>407</v>
      </c>
      <c r="I2" s="3" t="s">
        <v>408</v>
      </c>
      <c r="J2" s="3" t="s">
        <v>409</v>
      </c>
      <c r="K2" s="3" t="s">
        <v>410</v>
      </c>
      <c r="L2" s="3" t="s">
        <v>370</v>
      </c>
      <c r="M2" s="9" t="s">
        <v>411</v>
      </c>
      <c r="N2" s="9" t="s">
        <v>412</v>
      </c>
      <c r="O2" s="9" t="s">
        <v>413</v>
      </c>
      <c r="P2" s="9" t="s">
        <v>414</v>
      </c>
      <c r="Q2" s="10" t="s">
        <v>415</v>
      </c>
      <c r="R2" s="10" t="s">
        <v>371</v>
      </c>
      <c r="S2" s="10" t="s">
        <v>416</v>
      </c>
      <c r="T2" s="10" t="s">
        <v>417</v>
      </c>
      <c r="U2" s="123"/>
      <c r="V2" s="125"/>
      <c r="W2" s="125"/>
      <c r="X2" s="125"/>
      <c r="Y2" s="125"/>
      <c r="Z2" s="125"/>
      <c r="AA2" s="125"/>
      <c r="AB2" s="125"/>
      <c r="AC2" s="127"/>
      <c r="AD2" s="119"/>
      <c r="AE2" s="12" t="str">
        <f>[4]Weighting!A11</f>
        <v>10) Does this process use any Model (if yes, list the model IDs separated by ";" in the next column)</v>
      </c>
      <c r="AF2" s="12" t="s">
        <v>418</v>
      </c>
      <c r="AG2" s="3" t="s">
        <v>189</v>
      </c>
      <c r="AH2" s="13" t="s">
        <v>419</v>
      </c>
      <c r="AI2" s="13"/>
    </row>
    <row r="3" spans="1:35" ht="160.15" customHeight="1" x14ac:dyDescent="0.25">
      <c r="A3" s="15" t="s">
        <v>5</v>
      </c>
      <c r="B3" s="16" t="s">
        <v>6</v>
      </c>
      <c r="C3" s="71" t="s">
        <v>420</v>
      </c>
      <c r="D3" s="16" t="s">
        <v>196</v>
      </c>
      <c r="E3" s="77" t="str">
        <f t="shared" ref="E3:E34" si="0">IF(D3="","",TRIM(IFERROR(_xlfn.TEXTBEFORE(D3,","),D3)))</f>
        <v>Heath Novak</v>
      </c>
      <c r="F3" s="77" t="s">
        <v>7</v>
      </c>
      <c r="G3" s="18" t="s">
        <v>8</v>
      </c>
      <c r="H3" s="17" t="s">
        <v>373</v>
      </c>
      <c r="I3" s="18" t="s">
        <v>197</v>
      </c>
      <c r="J3" s="17" t="s">
        <v>224</v>
      </c>
      <c r="K3" s="17" t="s">
        <v>226</v>
      </c>
      <c r="L3" s="17" t="s">
        <v>374</v>
      </c>
      <c r="M3" s="15"/>
      <c r="N3" s="15"/>
      <c r="O3" s="15"/>
      <c r="P3" s="15" t="s">
        <v>199</v>
      </c>
      <c r="Q3" s="15" t="s">
        <v>199</v>
      </c>
      <c r="R3" s="15"/>
      <c r="S3" s="15"/>
      <c r="T3" s="15"/>
      <c r="U3" s="21">
        <f>SUM(INDEX([4]Weighting!$B$2:$C$40,MATCH(V$1,[4]Weighting!$A$2:$A$10,0),MATCH(V3,[4]Weighting!$B$1:$C$1,0)),INDEX([4]Weighting!$B$2:$C$40,MATCH(W$1,[4]Weighting!$A$2:$A$10,0),MATCH(W3,[4]Weighting!$B$1:$C$1,0)),INDEX([4]Weighting!$B$2:$C$40,MATCH(X$1,[4]Weighting!$A$2:$A$10,0),MATCH(X3,[4]Weighting!$B$1:$C$1,0)),INDEX([4]Weighting!$B$2:$C$40,MATCH(Y$1,[4]Weighting!$A$2:$A$10,0),MATCH(Y3,[4]Weighting!$B$1:$C$1,0)),INDEX([4]Weighting!$B$2:$C$40,MATCH(Z$1,[4]Weighting!$A$2:$A$10,0),MATCH(Z3,[4]Weighting!$B$1:$C$1,0)),INDEX([4]Weighting!$B$2:$C$40,MATCH(AA$1,[4]Weighting!$A$2:$A$10,0),MATCH(AA3,[4]Weighting!$B$1:$C$1,0)),INDEX([4]Weighting!$B$2:$C$40,MATCH(AB$1,[4]Weighting!$A$2:$A$10,0),MATCH(AB3,[4]Weighting!$B$1:$C$1,0)),INDEX([4]Weighting!$B$2:$C$40,MATCH(AC$1,[4]Weighting!$A$2:$A$10,0),MATCH(AC3,[4]Weighting!$B$1:$C$1,0)),INDEX([4]Weighting!$B$2:$C$40,MATCH(AD$1,[4]Weighting!$A$2:$A$10,0),MATCH(AD3,[4]Weighting!$B$1:$C$1,0)),VLOOKUP(J3,'[4]List table'!$C$2:$D$5,2,0))</f>
        <v>16</v>
      </c>
      <c r="V3" s="22" t="s">
        <v>199</v>
      </c>
      <c r="W3" s="22" t="s">
        <v>199</v>
      </c>
      <c r="X3" s="22" t="s">
        <v>199</v>
      </c>
      <c r="Y3" s="22" t="s">
        <v>199</v>
      </c>
      <c r="Z3" s="22" t="s">
        <v>199</v>
      </c>
      <c r="AA3" s="22" t="s">
        <v>226</v>
      </c>
      <c r="AB3" s="22" t="s">
        <v>199</v>
      </c>
      <c r="AC3" s="22" t="s">
        <v>199</v>
      </c>
      <c r="AD3" s="22" t="s">
        <v>199</v>
      </c>
      <c r="AE3" s="22" t="s">
        <v>226</v>
      </c>
      <c r="AF3" s="22"/>
      <c r="AG3" s="23" t="s">
        <v>198</v>
      </c>
      <c r="AH3" s="23" t="s">
        <v>200</v>
      </c>
    </row>
    <row r="4" spans="1:35" ht="71.25" customHeight="1" x14ac:dyDescent="0.25">
      <c r="A4" s="15" t="s">
        <v>9</v>
      </c>
      <c r="B4" s="16" t="s">
        <v>10</v>
      </c>
      <c r="C4" s="17" t="s">
        <v>201</v>
      </c>
      <c r="D4" s="16" t="s">
        <v>202</v>
      </c>
      <c r="E4" s="77" t="str">
        <f t="shared" si="0"/>
        <v>Jelena Cokorilo</v>
      </c>
      <c r="F4" s="77" t="s">
        <v>7</v>
      </c>
      <c r="G4" s="17" t="s">
        <v>421</v>
      </c>
      <c r="H4" s="17" t="s">
        <v>375</v>
      </c>
      <c r="I4" s="17"/>
      <c r="J4" s="17" t="s">
        <v>224</v>
      </c>
      <c r="K4" s="17" t="s">
        <v>226</v>
      </c>
      <c r="L4" s="17" t="s">
        <v>374</v>
      </c>
      <c r="M4" s="15" t="s">
        <v>199</v>
      </c>
      <c r="N4" s="15" t="s">
        <v>199</v>
      </c>
      <c r="O4" s="15" t="s">
        <v>226</v>
      </c>
      <c r="P4" s="15" t="s">
        <v>199</v>
      </c>
      <c r="Q4" s="15" t="s">
        <v>199</v>
      </c>
      <c r="R4" s="15"/>
      <c r="S4" s="15"/>
      <c r="T4" s="15"/>
      <c r="U4" s="21">
        <f>SUM(INDEX([4]Weighting!$B$2:$C$40,MATCH(V$1,[4]Weighting!$A$2:$A$10,0),MATCH(V4,[4]Weighting!$B$1:$C$1,0)),INDEX([4]Weighting!$B$2:$C$40,MATCH(W$1,[4]Weighting!$A$2:$A$10,0),MATCH(W4,[4]Weighting!$B$1:$C$1,0)),INDEX([4]Weighting!$B$2:$C$40,MATCH(X$1,[4]Weighting!$A$2:$A$10,0),MATCH(X4,[4]Weighting!$B$1:$C$1,0)),INDEX([4]Weighting!$B$2:$C$40,MATCH(Y$1,[4]Weighting!$A$2:$A$10,0),MATCH(Y4,[4]Weighting!$B$1:$C$1,0)),INDEX([4]Weighting!$B$2:$C$40,MATCH(Z$1,[4]Weighting!$A$2:$A$10,0),MATCH(Z4,[4]Weighting!$B$1:$C$1,0)),INDEX([4]Weighting!$B$2:$C$40,MATCH(AA$1,[4]Weighting!$A$2:$A$10,0),MATCH(AA4,[4]Weighting!$B$1:$C$1,0)),INDEX([4]Weighting!$B$2:$C$40,MATCH(AB$1,[4]Weighting!$A$2:$A$10,0),MATCH(AB4,[4]Weighting!$B$1:$C$1,0)),INDEX([4]Weighting!$B$2:$C$40,MATCH(AC$1,[4]Weighting!$A$2:$A$10,0),MATCH(AC4,[4]Weighting!$B$1:$C$1,0)),INDEX([4]Weighting!$B$2:$C$40,MATCH(AD$1,[4]Weighting!$A$2:$A$10,0),MATCH(AD4,[4]Weighting!$B$1:$C$1,0)),VLOOKUP(J4,'[4]List table'!$C$2:$D$5,2,0))</f>
        <v>16</v>
      </c>
      <c r="V4" s="25" t="s">
        <v>199</v>
      </c>
      <c r="W4" s="22" t="s">
        <v>199</v>
      </c>
      <c r="X4" s="22" t="s">
        <v>199</v>
      </c>
      <c r="Y4" s="22" t="s">
        <v>199</v>
      </c>
      <c r="Z4" s="22" t="s">
        <v>199</v>
      </c>
      <c r="AA4" s="22" t="s">
        <v>226</v>
      </c>
      <c r="AB4" s="22" t="s">
        <v>199</v>
      </c>
      <c r="AC4" s="22" t="s">
        <v>199</v>
      </c>
      <c r="AD4" s="22" t="s">
        <v>199</v>
      </c>
      <c r="AE4" s="22" t="s">
        <v>226</v>
      </c>
      <c r="AF4" s="22"/>
    </row>
    <row r="5" spans="1:35" ht="186" customHeight="1" x14ac:dyDescent="0.25">
      <c r="A5" s="15" t="s">
        <v>12</v>
      </c>
      <c r="B5" s="16" t="s">
        <v>13</v>
      </c>
      <c r="C5" s="17" t="s">
        <v>203</v>
      </c>
      <c r="D5" s="16" t="s">
        <v>204</v>
      </c>
      <c r="E5" s="77" t="str">
        <f t="shared" si="0"/>
        <v>Nitassa Upal</v>
      </c>
      <c r="F5" s="77" t="s">
        <v>14</v>
      </c>
      <c r="G5" s="18" t="s">
        <v>15</v>
      </c>
      <c r="H5" s="17"/>
      <c r="I5" s="18" t="s">
        <v>205</v>
      </c>
      <c r="J5" s="17" t="s">
        <v>422</v>
      </c>
      <c r="K5" s="17" t="s">
        <v>226</v>
      </c>
      <c r="L5" s="17" t="s">
        <v>374</v>
      </c>
      <c r="M5" s="15"/>
      <c r="N5" s="15" t="s">
        <v>199</v>
      </c>
      <c r="O5" s="15"/>
      <c r="P5" s="15" t="s">
        <v>199</v>
      </c>
      <c r="Q5" s="15" t="s">
        <v>199</v>
      </c>
      <c r="R5" s="15"/>
      <c r="S5" s="15"/>
      <c r="T5" s="15"/>
      <c r="U5" s="21">
        <f>SUM(INDEX([4]Weighting!$B$2:$C$40,MATCH(V$1,[4]Weighting!$A$2:$A$10,0),MATCH(V5,[4]Weighting!$B$1:$C$1,0)),INDEX([4]Weighting!$B$2:$C$40,MATCH(W$1,[4]Weighting!$A$2:$A$10,0),MATCH(W5,[4]Weighting!$B$1:$C$1,0)),INDEX([4]Weighting!$B$2:$C$40,MATCH(X$1,[4]Weighting!$A$2:$A$10,0),MATCH(X5,[4]Weighting!$B$1:$C$1,0)),INDEX([4]Weighting!$B$2:$C$40,MATCH(Y$1,[4]Weighting!$A$2:$A$10,0),MATCH(Y5,[4]Weighting!$B$1:$C$1,0)),INDEX([4]Weighting!$B$2:$C$40,MATCH(Z$1,[4]Weighting!$A$2:$A$10,0),MATCH(Z5,[4]Weighting!$B$1:$C$1,0)),INDEX([4]Weighting!$B$2:$C$40,MATCH(AA$1,[4]Weighting!$A$2:$A$10,0),MATCH(AA5,[4]Weighting!$B$1:$C$1,0)),INDEX([4]Weighting!$B$2:$C$40,MATCH(AB$1,[4]Weighting!$A$2:$A$10,0),MATCH(AB5,[4]Weighting!$B$1:$C$1,0)),INDEX([4]Weighting!$B$2:$C$40,MATCH(AC$1,[4]Weighting!$A$2:$A$10,0),MATCH(AC5,[4]Weighting!$B$1:$C$1,0)),INDEX([4]Weighting!$B$2:$C$40,MATCH(AD$1,[4]Weighting!$A$2:$A$10,0),MATCH(AD5,[4]Weighting!$B$1:$C$1,0)),VLOOKUP(J5,'[4]List table'!$C$2:$D$5,2,0))</f>
        <v>15</v>
      </c>
      <c r="V5" s="22" t="s">
        <v>199</v>
      </c>
      <c r="W5" s="22" t="s">
        <v>199</v>
      </c>
      <c r="X5" s="22" t="s">
        <v>199</v>
      </c>
      <c r="Y5" s="22" t="s">
        <v>199</v>
      </c>
      <c r="Z5" s="22" t="s">
        <v>226</v>
      </c>
      <c r="AA5" s="22" t="s">
        <v>226</v>
      </c>
      <c r="AB5" s="22" t="s">
        <v>226</v>
      </c>
      <c r="AC5" s="22" t="s">
        <v>226</v>
      </c>
      <c r="AD5" s="22" t="s">
        <v>199</v>
      </c>
      <c r="AE5" s="22" t="s">
        <v>226</v>
      </c>
      <c r="AF5" s="22"/>
      <c r="AG5" s="23" t="s">
        <v>206</v>
      </c>
    </row>
    <row r="6" spans="1:35" ht="75" x14ac:dyDescent="0.25">
      <c r="A6" s="15" t="s">
        <v>16</v>
      </c>
      <c r="B6" s="16" t="s">
        <v>17</v>
      </c>
      <c r="C6" s="17" t="s">
        <v>207</v>
      </c>
      <c r="D6" s="16" t="s">
        <v>208</v>
      </c>
      <c r="E6" s="78" t="str">
        <f t="shared" si="0"/>
        <v>Heath Novak</v>
      </c>
      <c r="F6" s="78" t="s">
        <v>7</v>
      </c>
      <c r="G6" s="26" t="s">
        <v>8</v>
      </c>
      <c r="H6" s="17"/>
      <c r="I6" s="18" t="s">
        <v>209</v>
      </c>
      <c r="J6" s="17" t="s">
        <v>224</v>
      </c>
      <c r="K6" s="17" t="s">
        <v>226</v>
      </c>
      <c r="L6" s="17" t="s">
        <v>374</v>
      </c>
      <c r="M6" s="15" t="s">
        <v>199</v>
      </c>
      <c r="N6" s="15" t="s">
        <v>226</v>
      </c>
      <c r="O6" s="15" t="s">
        <v>226</v>
      </c>
      <c r="P6" s="15" t="s">
        <v>199</v>
      </c>
      <c r="Q6" s="15" t="s">
        <v>199</v>
      </c>
      <c r="R6" s="15" t="s">
        <v>226</v>
      </c>
      <c r="S6" s="15" t="s">
        <v>226</v>
      </c>
      <c r="T6" s="15" t="s">
        <v>199</v>
      </c>
      <c r="U6" s="21">
        <f>SUM(INDEX([4]Weighting!$B$2:$C$40,MATCH(V$1,[4]Weighting!$A$2:$A$10,0),MATCH(V6,[4]Weighting!$B$1:$C$1,0)),INDEX([4]Weighting!$B$2:$C$40,MATCH(W$1,[4]Weighting!$A$2:$A$10,0),MATCH(W6,[4]Weighting!$B$1:$C$1,0)),INDEX([4]Weighting!$B$2:$C$40,MATCH(X$1,[4]Weighting!$A$2:$A$10,0),MATCH(X6,[4]Weighting!$B$1:$C$1,0)),INDEX([4]Weighting!$B$2:$C$40,MATCH(Y$1,[4]Weighting!$A$2:$A$10,0),MATCH(Y6,[4]Weighting!$B$1:$C$1,0)),INDEX([4]Weighting!$B$2:$C$40,MATCH(Z$1,[4]Weighting!$A$2:$A$10,0),MATCH(Z6,[4]Weighting!$B$1:$C$1,0)),INDEX([4]Weighting!$B$2:$C$40,MATCH(AA$1,[4]Weighting!$A$2:$A$10,0),MATCH(AA6,[4]Weighting!$B$1:$C$1,0)),INDEX([4]Weighting!$B$2:$C$40,MATCH(AB$1,[4]Weighting!$A$2:$A$10,0),MATCH(AB6,[4]Weighting!$B$1:$C$1,0)),INDEX([4]Weighting!$B$2:$C$40,MATCH(AC$1,[4]Weighting!$A$2:$A$10,0),MATCH(AC6,[4]Weighting!$B$1:$C$1,0)),INDEX([4]Weighting!$B$2:$C$40,MATCH(AD$1,[4]Weighting!$A$2:$A$10,0),MATCH(AD6,[4]Weighting!$B$1:$C$1,0)),VLOOKUP(J6,'[4]List table'!$C$2:$D$5,2,0))</f>
        <v>14</v>
      </c>
      <c r="V6" s="22" t="s">
        <v>199</v>
      </c>
      <c r="W6" s="22" t="s">
        <v>199</v>
      </c>
      <c r="X6" s="22" t="s">
        <v>199</v>
      </c>
      <c r="Y6" s="22" t="s">
        <v>199</v>
      </c>
      <c r="Z6" s="25" t="s">
        <v>199</v>
      </c>
      <c r="AA6" s="22" t="s">
        <v>226</v>
      </c>
      <c r="AB6" s="22" t="s">
        <v>226</v>
      </c>
      <c r="AC6" s="22" t="s">
        <v>199</v>
      </c>
      <c r="AD6" s="22" t="s">
        <v>199</v>
      </c>
      <c r="AE6" s="22" t="s">
        <v>226</v>
      </c>
      <c r="AF6" s="22"/>
      <c r="AG6" s="23" t="s">
        <v>210</v>
      </c>
      <c r="AH6" s="23" t="s">
        <v>211</v>
      </c>
    </row>
    <row r="7" spans="1:35" ht="90" x14ac:dyDescent="0.25">
      <c r="A7" s="15" t="s">
        <v>18</v>
      </c>
      <c r="B7" s="16" t="s">
        <v>19</v>
      </c>
      <c r="C7" s="17" t="s">
        <v>212</v>
      </c>
      <c r="D7" s="16" t="s">
        <v>213</v>
      </c>
      <c r="E7" s="77" t="str">
        <f t="shared" si="0"/>
        <v>Mimi Xue</v>
      </c>
      <c r="F7" s="77" t="s">
        <v>14</v>
      </c>
      <c r="G7" s="18" t="s">
        <v>20</v>
      </c>
      <c r="H7" s="17"/>
      <c r="I7" s="18" t="s">
        <v>214</v>
      </c>
      <c r="J7" s="17" t="s">
        <v>224</v>
      </c>
      <c r="K7" s="17" t="s">
        <v>226</v>
      </c>
      <c r="L7" s="17" t="s">
        <v>374</v>
      </c>
      <c r="M7" s="15"/>
      <c r="N7" s="15"/>
      <c r="O7" s="15"/>
      <c r="P7" s="15" t="s">
        <v>199</v>
      </c>
      <c r="Q7" s="15" t="s">
        <v>199</v>
      </c>
      <c r="R7" s="15"/>
      <c r="S7" s="15"/>
      <c r="T7" s="15"/>
      <c r="U7" s="21">
        <f>SUM(INDEX([4]Weighting!$B$2:$C$40,MATCH(V$1,[4]Weighting!$A$2:$A$10,0),MATCH(V7,[4]Weighting!$B$1:$C$1,0)),INDEX([4]Weighting!$B$2:$C$40,MATCH(W$1,[4]Weighting!$A$2:$A$10,0),MATCH(W7,[4]Weighting!$B$1:$C$1,0)),INDEX([4]Weighting!$B$2:$C$40,MATCH(X$1,[4]Weighting!$A$2:$A$10,0),MATCH(X7,[4]Weighting!$B$1:$C$1,0)),INDEX([4]Weighting!$B$2:$C$40,MATCH(Y$1,[4]Weighting!$A$2:$A$10,0),MATCH(Y7,[4]Weighting!$B$1:$C$1,0)),INDEX([4]Weighting!$B$2:$C$40,MATCH(Z$1,[4]Weighting!$A$2:$A$10,0),MATCH(Z7,[4]Weighting!$B$1:$C$1,0)),INDEX([4]Weighting!$B$2:$C$40,MATCH(AA$1,[4]Weighting!$A$2:$A$10,0),MATCH(AA7,[4]Weighting!$B$1:$C$1,0)),INDEX([4]Weighting!$B$2:$C$40,MATCH(AB$1,[4]Weighting!$A$2:$A$10,0),MATCH(AB7,[4]Weighting!$B$1:$C$1,0)),INDEX([4]Weighting!$B$2:$C$40,MATCH(AC$1,[4]Weighting!$A$2:$A$10,0),MATCH(AC7,[4]Weighting!$B$1:$C$1,0)),INDEX([4]Weighting!$B$2:$C$40,MATCH(AD$1,[4]Weighting!$A$2:$A$10,0),MATCH(AD7,[4]Weighting!$B$1:$C$1,0)),VLOOKUP(J7,'[4]List table'!$C$2:$D$5,2,0))</f>
        <v>17</v>
      </c>
      <c r="V7" s="22" t="s">
        <v>199</v>
      </c>
      <c r="W7" s="22" t="s">
        <v>199</v>
      </c>
      <c r="X7" s="22" t="s">
        <v>226</v>
      </c>
      <c r="Y7" s="22" t="s">
        <v>199</v>
      </c>
      <c r="Z7" s="25" t="s">
        <v>199</v>
      </c>
      <c r="AA7" s="22" t="s">
        <v>226</v>
      </c>
      <c r="AB7" s="22" t="s">
        <v>199</v>
      </c>
      <c r="AC7" s="22" t="s">
        <v>199</v>
      </c>
      <c r="AD7" s="22" t="s">
        <v>199</v>
      </c>
      <c r="AE7" s="22" t="s">
        <v>226</v>
      </c>
      <c r="AF7" s="22"/>
      <c r="AG7" s="27" t="s">
        <v>215</v>
      </c>
    </row>
    <row r="8" spans="1:35" ht="57.75" customHeight="1" x14ac:dyDescent="0.25">
      <c r="A8" s="15" t="s">
        <v>21</v>
      </c>
      <c r="B8" s="16" t="s">
        <v>22</v>
      </c>
      <c r="C8" s="17" t="s">
        <v>216</v>
      </c>
      <c r="D8" s="16" t="s">
        <v>217</v>
      </c>
      <c r="E8" s="77" t="str">
        <f t="shared" si="0"/>
        <v>Mimi Xue</v>
      </c>
      <c r="F8" s="77" t="s">
        <v>14</v>
      </c>
      <c r="G8" s="18" t="s">
        <v>23</v>
      </c>
      <c r="H8" s="17"/>
      <c r="I8" s="18" t="s">
        <v>218</v>
      </c>
      <c r="J8" s="17" t="s">
        <v>224</v>
      </c>
      <c r="K8" s="17" t="s">
        <v>226</v>
      </c>
      <c r="L8" s="17" t="s">
        <v>374</v>
      </c>
      <c r="M8" s="15"/>
      <c r="N8" s="15"/>
      <c r="O8" s="15"/>
      <c r="P8" s="15" t="s">
        <v>199</v>
      </c>
      <c r="Q8" s="15" t="s">
        <v>199</v>
      </c>
      <c r="R8" s="15"/>
      <c r="S8" s="15"/>
      <c r="T8" s="15"/>
      <c r="U8" s="21">
        <f>SUM(INDEX([4]Weighting!$B$2:$C$40,MATCH(V$1,[4]Weighting!$A$2:$A$10,0),MATCH(V8,[4]Weighting!$B$1:$C$1,0)),INDEX([4]Weighting!$B$2:$C$40,MATCH(W$1,[4]Weighting!$A$2:$A$10,0),MATCH(W8,[4]Weighting!$B$1:$C$1,0)),INDEX([4]Weighting!$B$2:$C$40,MATCH(X$1,[4]Weighting!$A$2:$A$10,0),MATCH(X8,[4]Weighting!$B$1:$C$1,0)),INDEX([4]Weighting!$B$2:$C$40,MATCH(Y$1,[4]Weighting!$A$2:$A$10,0),MATCH(Y8,[4]Weighting!$B$1:$C$1,0)),INDEX([4]Weighting!$B$2:$C$40,MATCH(Z$1,[4]Weighting!$A$2:$A$10,0),MATCH(Z8,[4]Weighting!$B$1:$C$1,0)),INDEX([4]Weighting!$B$2:$C$40,MATCH(AA$1,[4]Weighting!$A$2:$A$10,0),MATCH(AA8,[4]Weighting!$B$1:$C$1,0)),INDEX([4]Weighting!$B$2:$C$40,MATCH(AB$1,[4]Weighting!$A$2:$A$10,0),MATCH(AB8,[4]Weighting!$B$1:$C$1,0)),INDEX([4]Weighting!$B$2:$C$40,MATCH(AC$1,[4]Weighting!$A$2:$A$10,0),MATCH(AC8,[4]Weighting!$B$1:$C$1,0)),INDEX([4]Weighting!$B$2:$C$40,MATCH(AD$1,[4]Weighting!$A$2:$A$10,0),MATCH(AD8,[4]Weighting!$B$1:$C$1,0)),VLOOKUP(J8,'[4]List table'!$C$2:$D$5,2,0))</f>
        <v>13</v>
      </c>
      <c r="V8" s="22" t="s">
        <v>199</v>
      </c>
      <c r="W8" s="22" t="s">
        <v>199</v>
      </c>
      <c r="X8" s="22" t="s">
        <v>226</v>
      </c>
      <c r="Y8" s="22" t="s">
        <v>199</v>
      </c>
      <c r="Z8" s="22" t="s">
        <v>199</v>
      </c>
      <c r="AA8" s="22" t="s">
        <v>226</v>
      </c>
      <c r="AB8" s="22" t="s">
        <v>226</v>
      </c>
      <c r="AC8" s="22" t="s">
        <v>226</v>
      </c>
      <c r="AD8" s="22" t="s">
        <v>199</v>
      </c>
      <c r="AE8" s="22" t="s">
        <v>226</v>
      </c>
      <c r="AF8" s="22"/>
      <c r="AG8" s="23" t="s">
        <v>219</v>
      </c>
    </row>
    <row r="9" spans="1:35" ht="45" x14ac:dyDescent="0.25">
      <c r="A9" s="15" t="s">
        <v>24</v>
      </c>
      <c r="B9" s="16" t="s">
        <v>25</v>
      </c>
      <c r="C9" s="17" t="s">
        <v>220</v>
      </c>
      <c r="D9" s="94" t="s">
        <v>26</v>
      </c>
      <c r="E9" s="79" t="str">
        <f t="shared" si="0"/>
        <v>Mark Desautels</v>
      </c>
      <c r="F9" s="79" t="s">
        <v>27</v>
      </c>
      <c r="G9" s="17" t="s">
        <v>28</v>
      </c>
      <c r="H9" s="17"/>
      <c r="I9" s="17" t="s">
        <v>221</v>
      </c>
      <c r="J9" s="17" t="s">
        <v>423</v>
      </c>
      <c r="K9" s="17" t="s">
        <v>226</v>
      </c>
      <c r="L9" s="17" t="s">
        <v>376</v>
      </c>
      <c r="M9" s="15"/>
      <c r="N9" s="15"/>
      <c r="O9" s="15"/>
      <c r="P9" s="15" t="s">
        <v>199</v>
      </c>
      <c r="Q9" s="15" t="s">
        <v>199</v>
      </c>
      <c r="R9" s="15"/>
      <c r="S9" s="15"/>
      <c r="T9" s="15"/>
      <c r="U9" s="21">
        <f>SUM(INDEX([4]Weighting!$B$2:$C$40,MATCH(V$1,[4]Weighting!$A$2:$A$10,0),MATCH(V9,[4]Weighting!$B$1:$C$1,0)),INDEX([4]Weighting!$B$2:$C$40,MATCH(W$1,[4]Weighting!$A$2:$A$10,0),MATCH(W9,[4]Weighting!$B$1:$C$1,0)),INDEX([4]Weighting!$B$2:$C$40,MATCH(X$1,[4]Weighting!$A$2:$A$10,0),MATCH(X9,[4]Weighting!$B$1:$C$1,0)),INDEX([4]Weighting!$B$2:$C$40,MATCH(Y$1,[4]Weighting!$A$2:$A$10,0),MATCH(Y9,[4]Weighting!$B$1:$C$1,0)),INDEX([4]Weighting!$B$2:$C$40,MATCH(Z$1,[4]Weighting!$A$2:$A$10,0),MATCH(Z9,[4]Weighting!$B$1:$C$1,0)),INDEX([4]Weighting!$B$2:$C$40,MATCH(AA$1,[4]Weighting!$A$2:$A$10,0),MATCH(AA9,[4]Weighting!$B$1:$C$1,0)),INDEX([4]Weighting!$B$2:$C$40,MATCH(AB$1,[4]Weighting!$A$2:$A$10,0),MATCH(AB9,[4]Weighting!$B$1:$C$1,0)),INDEX([4]Weighting!$B$2:$C$40,MATCH(AC$1,[4]Weighting!$A$2:$A$10,0),MATCH(AC9,[4]Weighting!$B$1:$C$1,0)),INDEX([4]Weighting!$B$2:$C$40,MATCH(AD$1,[4]Weighting!$A$2:$A$10,0),MATCH(AD9,[4]Weighting!$B$1:$C$1,0)),VLOOKUP(J9,'[4]List table'!$C$2:$D$5,2,0))</f>
        <v>13</v>
      </c>
      <c r="V9" s="22" t="s">
        <v>199</v>
      </c>
      <c r="W9" s="22" t="s">
        <v>226</v>
      </c>
      <c r="X9" s="22" t="s">
        <v>226</v>
      </c>
      <c r="Y9" s="22" t="s">
        <v>199</v>
      </c>
      <c r="Z9" s="22" t="s">
        <v>226</v>
      </c>
      <c r="AA9" s="22" t="s">
        <v>226</v>
      </c>
      <c r="AB9" s="22" t="s">
        <v>226</v>
      </c>
      <c r="AC9" s="22" t="s">
        <v>226</v>
      </c>
      <c r="AD9" s="22" t="s">
        <v>226</v>
      </c>
      <c r="AE9" s="22" t="s">
        <v>226</v>
      </c>
      <c r="AF9" s="22"/>
    </row>
    <row r="10" spans="1:35" ht="105" x14ac:dyDescent="0.25">
      <c r="A10" s="15" t="s">
        <v>29</v>
      </c>
      <c r="B10" s="16" t="s">
        <v>30</v>
      </c>
      <c r="C10" s="17" t="s">
        <v>222</v>
      </c>
      <c r="D10" s="29" t="s">
        <v>223</v>
      </c>
      <c r="E10" s="79" t="str">
        <f t="shared" si="0"/>
        <v>David Burrows</v>
      </c>
      <c r="F10" s="79" t="s">
        <v>31</v>
      </c>
      <c r="G10" s="18" t="s">
        <v>32</v>
      </c>
      <c r="H10" s="17" t="s">
        <v>224</v>
      </c>
      <c r="I10" s="17" t="s">
        <v>224</v>
      </c>
      <c r="J10" s="17" t="s">
        <v>224</v>
      </c>
      <c r="K10" s="17" t="s">
        <v>224</v>
      </c>
      <c r="L10" s="17" t="s">
        <v>374</v>
      </c>
      <c r="M10" s="15" t="s">
        <v>199</v>
      </c>
      <c r="N10" s="15"/>
      <c r="O10" s="15"/>
      <c r="P10" s="15"/>
      <c r="Q10" s="15" t="s">
        <v>226</v>
      </c>
      <c r="R10" s="15" t="s">
        <v>226</v>
      </c>
      <c r="S10" s="15" t="s">
        <v>226</v>
      </c>
      <c r="T10" s="15" t="s">
        <v>226</v>
      </c>
      <c r="U10" s="21" t="e">
        <f>SUM(INDEX([4]Weighting!$B$2:$C$40,MATCH(V$1,[4]Weighting!$A$2:$A$10,0),MATCH(V10,[4]Weighting!$B$1:$C$1,0)),INDEX([4]Weighting!$B$2:$C$40,MATCH(W$1,[4]Weighting!$A$2:$A$10,0),MATCH(W10,[4]Weighting!$B$1:$C$1,0)),INDEX([4]Weighting!$B$2:$C$40,MATCH(X$1,[4]Weighting!$A$2:$A$10,0),MATCH(X10,[4]Weighting!$B$1:$C$1,0)),INDEX([4]Weighting!$B$2:$C$40,MATCH(Y$1,[4]Weighting!$A$2:$A$10,0),MATCH(Y10,[4]Weighting!$B$1:$C$1,0)),INDEX([4]Weighting!$B$2:$C$40,MATCH(Z$1,[4]Weighting!$A$2:$A$10,0),MATCH(Z10,[4]Weighting!$B$1:$C$1,0)),INDEX([4]Weighting!$B$2:$C$40,MATCH(AA$1,[4]Weighting!$A$2:$A$10,0),MATCH(AA10,[4]Weighting!$B$1:$C$1,0)),INDEX([4]Weighting!$B$2:$C$40,MATCH(AB$1,[4]Weighting!$A$2:$A$10,0),MATCH(AB10,[4]Weighting!$B$1:$C$1,0)),INDEX([4]Weighting!$B$2:$C$40,MATCH(AC$1,[4]Weighting!$A$2:$A$10,0),MATCH(AC10,[4]Weighting!$B$1:$C$1,0)),INDEX([4]Weighting!$B$2:$C$40,MATCH(AD$1,[4]Weighting!$A$2:$A$10,0),MATCH(AD10,[4]Weighting!$B$1:$C$1,0)),VLOOKUP(J10,'[4]List table'!$C$2:$D$5,2,0))</f>
        <v>#N/A</v>
      </c>
      <c r="V10" s="22"/>
      <c r="W10" s="22"/>
      <c r="X10" s="22"/>
      <c r="Y10" s="22"/>
      <c r="Z10" s="22"/>
      <c r="AA10" s="22"/>
      <c r="AB10" s="22"/>
      <c r="AC10" s="22"/>
      <c r="AD10" s="22"/>
      <c r="AE10" s="22"/>
      <c r="AF10" s="22"/>
      <c r="AG10" s="24" t="s">
        <v>225</v>
      </c>
    </row>
    <row r="11" spans="1:35" ht="60" x14ac:dyDescent="0.25">
      <c r="A11" s="15" t="s">
        <v>33</v>
      </c>
      <c r="B11" s="16" t="s">
        <v>34</v>
      </c>
      <c r="C11" s="17" t="s">
        <v>227</v>
      </c>
      <c r="D11" s="29" t="s">
        <v>223</v>
      </c>
      <c r="E11" s="79" t="str">
        <f t="shared" si="0"/>
        <v>David Burrows</v>
      </c>
      <c r="F11" s="79" t="s">
        <v>31</v>
      </c>
      <c r="G11" s="18" t="s">
        <v>32</v>
      </c>
      <c r="H11" s="17"/>
      <c r="I11" s="17"/>
      <c r="J11" s="17"/>
      <c r="K11" s="17"/>
      <c r="L11" s="17" t="s">
        <v>374</v>
      </c>
      <c r="M11" s="15" t="s">
        <v>199</v>
      </c>
      <c r="N11" s="15" t="s">
        <v>226</v>
      </c>
      <c r="O11" s="15" t="s">
        <v>226</v>
      </c>
      <c r="P11" s="15" t="s">
        <v>199</v>
      </c>
      <c r="Q11" s="15" t="s">
        <v>226</v>
      </c>
      <c r="R11" s="15" t="s">
        <v>226</v>
      </c>
      <c r="S11" s="15" t="s">
        <v>226</v>
      </c>
      <c r="T11" s="15" t="s">
        <v>226</v>
      </c>
      <c r="U11" s="21" t="e">
        <f>SUM(INDEX([4]Weighting!$B$2:$C$40,MATCH(V$1,[4]Weighting!$A$2:$A$10,0),MATCH(V11,[4]Weighting!$B$1:$C$1,0)),INDEX([4]Weighting!$B$2:$C$40,MATCH(W$1,[4]Weighting!$A$2:$A$10,0),MATCH(W11,[4]Weighting!$B$1:$C$1,0)),INDEX([4]Weighting!$B$2:$C$40,MATCH(X$1,[4]Weighting!$A$2:$A$10,0),MATCH(X11,[4]Weighting!$B$1:$C$1,0)),INDEX([4]Weighting!$B$2:$C$40,MATCH(Y$1,[4]Weighting!$A$2:$A$10,0),MATCH(Y11,[4]Weighting!$B$1:$C$1,0)),INDEX([4]Weighting!$B$2:$C$40,MATCH(Z$1,[4]Weighting!$A$2:$A$10,0),MATCH(Z11,[4]Weighting!$B$1:$C$1,0)),INDEX([4]Weighting!$B$2:$C$40,MATCH(AA$1,[4]Weighting!$A$2:$A$10,0),MATCH(AA11,[4]Weighting!$B$1:$C$1,0)),INDEX([4]Weighting!$B$2:$C$40,MATCH(AB$1,[4]Weighting!$A$2:$A$10,0),MATCH(AB11,[4]Weighting!$B$1:$C$1,0)),INDEX([4]Weighting!$B$2:$C$40,MATCH(AC$1,[4]Weighting!$A$2:$A$10,0),MATCH(AC11,[4]Weighting!$B$1:$C$1,0)),INDEX([4]Weighting!$B$2:$C$40,MATCH(AD$1,[4]Weighting!$A$2:$A$10,0),MATCH(AD11,[4]Weighting!$B$1:$C$1,0)),VLOOKUP(J11,'[4]List table'!$C$2:$D$5,2,0))</f>
        <v>#N/A</v>
      </c>
      <c r="V11" s="22"/>
      <c r="W11" s="22"/>
      <c r="X11" s="22"/>
      <c r="Y11" s="22"/>
      <c r="Z11" s="22"/>
      <c r="AA11" s="22"/>
      <c r="AB11" s="22"/>
      <c r="AC11" s="22"/>
      <c r="AD11" s="22"/>
      <c r="AE11" s="22"/>
      <c r="AF11" s="22"/>
      <c r="AG11" s="24" t="s">
        <v>228</v>
      </c>
    </row>
    <row r="12" spans="1:35" ht="60" customHeight="1" x14ac:dyDescent="0.25">
      <c r="A12" s="15" t="s">
        <v>35</v>
      </c>
      <c r="B12" s="16" t="s">
        <v>36</v>
      </c>
      <c r="C12" s="17" t="s">
        <v>229</v>
      </c>
      <c r="D12" s="30" t="s">
        <v>230</v>
      </c>
      <c r="E12" s="80" t="str">
        <f t="shared" si="0"/>
        <v>Chris MacLaren</v>
      </c>
      <c r="F12" s="80" t="s">
        <v>37</v>
      </c>
      <c r="G12" s="17" t="s">
        <v>38</v>
      </c>
      <c r="H12" s="17"/>
      <c r="I12" s="17"/>
      <c r="J12" s="17" t="s">
        <v>224</v>
      </c>
      <c r="K12" s="17" t="s">
        <v>226</v>
      </c>
      <c r="L12" s="17" t="s">
        <v>374</v>
      </c>
      <c r="M12" s="15" t="s">
        <v>226</v>
      </c>
      <c r="N12" s="15" t="s">
        <v>199</v>
      </c>
      <c r="O12" s="15" t="s">
        <v>226</v>
      </c>
      <c r="P12" s="15" t="s">
        <v>199</v>
      </c>
      <c r="Q12" s="15" t="s">
        <v>226</v>
      </c>
      <c r="R12" s="15" t="s">
        <v>226</v>
      </c>
      <c r="S12" s="15" t="s">
        <v>226</v>
      </c>
      <c r="T12" s="15" t="s">
        <v>226</v>
      </c>
      <c r="U12" s="21" t="e">
        <f>SUM(INDEX([4]Weighting!$B$2:$C$40,MATCH(V$1,[4]Weighting!$A$2:$A$10,0),MATCH(V12,[4]Weighting!$B$1:$C$1,0)),INDEX([4]Weighting!$B$2:$C$40,MATCH(W$1,[4]Weighting!$A$2:$A$10,0),MATCH(W12,[4]Weighting!$B$1:$C$1,0)),INDEX([4]Weighting!$B$2:$C$40,MATCH(X$1,[4]Weighting!$A$2:$A$10,0),MATCH(X12,[4]Weighting!$B$1:$C$1,0)),INDEX([4]Weighting!$B$2:$C$40,MATCH(Y$1,[4]Weighting!$A$2:$A$10,0),MATCH(Y12,[4]Weighting!$B$1:$C$1,0)),INDEX([4]Weighting!$B$2:$C$40,MATCH(Z$1,[4]Weighting!$A$2:$A$10,0),MATCH(Z12,[4]Weighting!$B$1:$C$1,0)),INDEX([4]Weighting!$B$2:$C$40,MATCH(AA$1,[4]Weighting!$A$2:$A$10,0),MATCH(AA12,[4]Weighting!$B$1:$C$1,0)),INDEX([4]Weighting!$B$2:$C$40,MATCH(AB$1,[4]Weighting!$A$2:$A$10,0),MATCH(AB12,[4]Weighting!$B$1:$C$1,0)),INDEX([4]Weighting!$B$2:$C$40,MATCH(AC$1,[4]Weighting!$A$2:$A$10,0),MATCH(AC12,[4]Weighting!$B$1:$C$1,0)),INDEX([4]Weighting!$B$2:$C$40,MATCH(AD$1,[4]Weighting!$A$2:$A$10,0),MATCH(AD12,[4]Weighting!$B$1:$C$1,0)),VLOOKUP(J12,'[4]List table'!$C$2:$D$5,2,0))</f>
        <v>#N/A</v>
      </c>
      <c r="V12" s="22"/>
      <c r="W12" s="22"/>
      <c r="X12" s="22"/>
      <c r="Y12" s="22"/>
      <c r="Z12" s="22"/>
      <c r="AA12" s="22"/>
      <c r="AB12" s="22"/>
      <c r="AC12" s="22"/>
      <c r="AD12" s="22"/>
      <c r="AE12" s="22"/>
      <c r="AF12" s="22"/>
      <c r="AG12" s="23" t="s">
        <v>231</v>
      </c>
      <c r="AH12" s="23"/>
    </row>
    <row r="13" spans="1:35" ht="30" x14ac:dyDescent="0.25">
      <c r="A13" s="31" t="s">
        <v>39</v>
      </c>
      <c r="B13" s="20" t="s">
        <v>40</v>
      </c>
      <c r="C13" s="20" t="s">
        <v>232</v>
      </c>
      <c r="D13" s="32" t="s">
        <v>41</v>
      </c>
      <c r="E13" s="81" t="str">
        <f t="shared" si="0"/>
        <v>Gregory Stoeckl</v>
      </c>
      <c r="F13" s="81" t="s">
        <v>37</v>
      </c>
      <c r="G13" s="20" t="s">
        <v>38</v>
      </c>
      <c r="H13" s="20" t="s">
        <v>377</v>
      </c>
      <c r="I13" s="18" t="s">
        <v>233</v>
      </c>
      <c r="J13" s="20" t="s">
        <v>224</v>
      </c>
      <c r="K13" s="20" t="s">
        <v>226</v>
      </c>
      <c r="L13" s="20" t="s">
        <v>378</v>
      </c>
      <c r="M13" s="15"/>
      <c r="N13" s="15"/>
      <c r="O13" s="15"/>
      <c r="P13" s="15" t="s">
        <v>199</v>
      </c>
      <c r="Q13" s="15" t="s">
        <v>199</v>
      </c>
      <c r="R13" s="15"/>
      <c r="S13" s="15"/>
      <c r="T13" s="15"/>
      <c r="U13" s="21">
        <f>SUM(INDEX([4]Weighting!$B$2:$C$40,MATCH(V$1,[4]Weighting!$A$2:$A$10,0),MATCH(V13,[4]Weighting!$B$1:$C$1,0)),INDEX([4]Weighting!$B$2:$C$40,MATCH(W$1,[4]Weighting!$A$2:$A$10,0),MATCH(W13,[4]Weighting!$B$1:$C$1,0)),INDEX([4]Weighting!$B$2:$C$40,MATCH(X$1,[4]Weighting!$A$2:$A$10,0),MATCH(X13,[4]Weighting!$B$1:$C$1,0)),INDEX([4]Weighting!$B$2:$C$40,MATCH(Y$1,[4]Weighting!$A$2:$A$10,0),MATCH(Y13,[4]Weighting!$B$1:$C$1,0)),INDEX([4]Weighting!$B$2:$C$40,MATCH(Z$1,[4]Weighting!$A$2:$A$10,0),MATCH(Z13,[4]Weighting!$B$1:$C$1,0)),INDEX([4]Weighting!$B$2:$C$40,MATCH(AA$1,[4]Weighting!$A$2:$A$10,0),MATCH(AA13,[4]Weighting!$B$1:$C$1,0)),INDEX([4]Weighting!$B$2:$C$40,MATCH(AB$1,[4]Weighting!$A$2:$A$10,0),MATCH(AB13,[4]Weighting!$B$1:$C$1,0)),INDEX([4]Weighting!$B$2:$C$40,MATCH(AC$1,[4]Weighting!$A$2:$A$10,0),MATCH(AC13,[4]Weighting!$B$1:$C$1,0)),INDEX([4]Weighting!$B$2:$C$40,MATCH(AD$1,[4]Weighting!$A$2:$A$10,0),MATCH(AD13,[4]Weighting!$B$1:$C$1,0)),VLOOKUP(J13,'[4]List table'!$C$2:$D$5,2,0))</f>
        <v>9</v>
      </c>
      <c r="V13" s="22" t="s">
        <v>199</v>
      </c>
      <c r="W13" s="22" t="s">
        <v>226</v>
      </c>
      <c r="X13" s="22" t="s">
        <v>226</v>
      </c>
      <c r="Y13" s="22" t="s">
        <v>226</v>
      </c>
      <c r="Z13" s="22" t="s">
        <v>226</v>
      </c>
      <c r="AA13" s="22" t="s">
        <v>226</v>
      </c>
      <c r="AB13" s="22" t="s">
        <v>226</v>
      </c>
      <c r="AC13" s="22" t="s">
        <v>199</v>
      </c>
      <c r="AD13" s="22" t="s">
        <v>226</v>
      </c>
      <c r="AE13" s="22" t="s">
        <v>226</v>
      </c>
      <c r="AF13" s="22"/>
      <c r="AG13" s="33" t="s">
        <v>234</v>
      </c>
    </row>
    <row r="14" spans="1:35" ht="30" x14ac:dyDescent="0.25">
      <c r="A14" s="31" t="s">
        <v>42</v>
      </c>
      <c r="B14" s="20" t="s">
        <v>43</v>
      </c>
      <c r="C14" s="20" t="s">
        <v>235</v>
      </c>
      <c r="D14" s="20" t="s">
        <v>41</v>
      </c>
      <c r="E14" s="82" t="str">
        <f t="shared" si="0"/>
        <v>Gregory Stoeckl</v>
      </c>
      <c r="F14" s="82" t="s">
        <v>37</v>
      </c>
      <c r="G14" s="20" t="s">
        <v>38</v>
      </c>
      <c r="H14" s="20" t="s">
        <v>379</v>
      </c>
      <c r="I14" s="18" t="s">
        <v>236</v>
      </c>
      <c r="J14" s="20" t="s">
        <v>224</v>
      </c>
      <c r="K14" s="20" t="s">
        <v>226</v>
      </c>
      <c r="L14" s="20" t="s">
        <v>379</v>
      </c>
      <c r="M14" s="15"/>
      <c r="N14" s="15"/>
      <c r="O14" s="15"/>
      <c r="P14" s="15" t="s">
        <v>199</v>
      </c>
      <c r="Q14" s="15" t="s">
        <v>199</v>
      </c>
      <c r="R14" s="15"/>
      <c r="S14" s="15"/>
      <c r="T14" s="15"/>
      <c r="U14" s="21">
        <f>SUM(INDEX([4]Weighting!$B$2:$C$40,MATCH(V$1,[4]Weighting!$A$2:$A$10,0),MATCH(V14,[4]Weighting!$B$1:$C$1,0)),INDEX([4]Weighting!$B$2:$C$40,MATCH(W$1,[4]Weighting!$A$2:$A$10,0),MATCH(W14,[4]Weighting!$B$1:$C$1,0)),INDEX([4]Weighting!$B$2:$C$40,MATCH(X$1,[4]Weighting!$A$2:$A$10,0),MATCH(X14,[4]Weighting!$B$1:$C$1,0)),INDEX([4]Weighting!$B$2:$C$40,MATCH(Y$1,[4]Weighting!$A$2:$A$10,0),MATCH(Y14,[4]Weighting!$B$1:$C$1,0)),INDEX([4]Weighting!$B$2:$C$40,MATCH(Z$1,[4]Weighting!$A$2:$A$10,0),MATCH(Z14,[4]Weighting!$B$1:$C$1,0)),INDEX([4]Weighting!$B$2:$C$40,MATCH(AA$1,[4]Weighting!$A$2:$A$10,0),MATCH(AA14,[4]Weighting!$B$1:$C$1,0)),INDEX([4]Weighting!$B$2:$C$40,MATCH(AB$1,[4]Weighting!$A$2:$A$10,0),MATCH(AB14,[4]Weighting!$B$1:$C$1,0)),INDEX([4]Weighting!$B$2:$C$40,MATCH(AC$1,[4]Weighting!$A$2:$A$10,0),MATCH(AC14,[4]Weighting!$B$1:$C$1,0)),INDEX([4]Weighting!$B$2:$C$40,MATCH(AD$1,[4]Weighting!$A$2:$A$10,0),MATCH(AD14,[4]Weighting!$B$1:$C$1,0)),VLOOKUP(J14,'[4]List table'!$C$2:$D$5,2,0))</f>
        <v>14</v>
      </c>
      <c r="V14" s="22" t="s">
        <v>199</v>
      </c>
      <c r="W14" s="22" t="s">
        <v>199</v>
      </c>
      <c r="X14" s="22" t="s">
        <v>226</v>
      </c>
      <c r="Y14" s="22" t="s">
        <v>199</v>
      </c>
      <c r="Z14" s="22" t="s">
        <v>226</v>
      </c>
      <c r="AA14" s="22" t="s">
        <v>226</v>
      </c>
      <c r="AB14" s="22" t="s">
        <v>226</v>
      </c>
      <c r="AC14" s="22" t="s">
        <v>226</v>
      </c>
      <c r="AD14" s="22" t="s">
        <v>199</v>
      </c>
      <c r="AE14" s="22" t="s">
        <v>226</v>
      </c>
      <c r="AF14" s="22"/>
      <c r="AG14" s="24" t="s">
        <v>237</v>
      </c>
    </row>
    <row r="15" spans="1:35" ht="30" x14ac:dyDescent="0.25">
      <c r="A15" s="31" t="s">
        <v>44</v>
      </c>
      <c r="B15" s="20" t="s">
        <v>45</v>
      </c>
      <c r="C15" s="20" t="s">
        <v>238</v>
      </c>
      <c r="D15" s="20" t="s">
        <v>41</v>
      </c>
      <c r="E15" s="82" t="str">
        <f t="shared" si="0"/>
        <v>Gregory Stoeckl</v>
      </c>
      <c r="F15" s="82" t="s">
        <v>37</v>
      </c>
      <c r="G15" s="20" t="s">
        <v>38</v>
      </c>
      <c r="H15" s="20"/>
      <c r="I15" s="18" t="s">
        <v>233</v>
      </c>
      <c r="J15" s="20" t="s">
        <v>224</v>
      </c>
      <c r="K15" s="20" t="s">
        <v>226</v>
      </c>
      <c r="L15" s="20" t="s">
        <v>378</v>
      </c>
      <c r="M15" s="15"/>
      <c r="N15" s="15"/>
      <c r="O15" s="15"/>
      <c r="P15" s="15" t="s">
        <v>199</v>
      </c>
      <c r="Q15" s="15" t="s">
        <v>199</v>
      </c>
      <c r="R15" s="15"/>
      <c r="S15" s="15"/>
      <c r="T15" s="15"/>
      <c r="U15" s="21">
        <f>SUM(INDEX([4]Weighting!$B$2:$C$40,MATCH(V$1,[4]Weighting!$A$2:$A$10,0),MATCH(V15,[4]Weighting!$B$1:$C$1,0)),INDEX([4]Weighting!$B$2:$C$40,MATCH(W$1,[4]Weighting!$A$2:$A$10,0),MATCH(W15,[4]Weighting!$B$1:$C$1,0)),INDEX([4]Weighting!$B$2:$C$40,MATCH(X$1,[4]Weighting!$A$2:$A$10,0),MATCH(X15,[4]Weighting!$B$1:$C$1,0)),INDEX([4]Weighting!$B$2:$C$40,MATCH(Y$1,[4]Weighting!$A$2:$A$10,0),MATCH(Y15,[4]Weighting!$B$1:$C$1,0)),INDEX([4]Weighting!$B$2:$C$40,MATCH(Z$1,[4]Weighting!$A$2:$A$10,0),MATCH(Z15,[4]Weighting!$B$1:$C$1,0)),INDEX([4]Weighting!$B$2:$C$40,MATCH(AA$1,[4]Weighting!$A$2:$A$10,0),MATCH(AA15,[4]Weighting!$B$1:$C$1,0)),INDEX([4]Weighting!$B$2:$C$40,MATCH(AB$1,[4]Weighting!$A$2:$A$10,0),MATCH(AB15,[4]Weighting!$B$1:$C$1,0)),INDEX([4]Weighting!$B$2:$C$40,MATCH(AC$1,[4]Weighting!$A$2:$A$10,0),MATCH(AC15,[4]Weighting!$B$1:$C$1,0)),INDEX([4]Weighting!$B$2:$C$40,MATCH(AD$1,[4]Weighting!$A$2:$A$10,0),MATCH(AD15,[4]Weighting!$B$1:$C$1,0)),VLOOKUP(J15,'[4]List table'!$C$2:$D$5,2,0))</f>
        <v>7</v>
      </c>
      <c r="V15" s="22" t="s">
        <v>199</v>
      </c>
      <c r="W15" s="22" t="s">
        <v>226</v>
      </c>
      <c r="X15" s="22" t="s">
        <v>226</v>
      </c>
      <c r="Y15" s="22" t="s">
        <v>226</v>
      </c>
      <c r="Z15" s="22" t="s">
        <v>226</v>
      </c>
      <c r="AA15" s="22" t="s">
        <v>226</v>
      </c>
      <c r="AB15" s="22" t="s">
        <v>226</v>
      </c>
      <c r="AC15" s="22" t="s">
        <v>226</v>
      </c>
      <c r="AD15" s="22" t="s">
        <v>226</v>
      </c>
      <c r="AE15" s="22" t="s">
        <v>226</v>
      </c>
      <c r="AF15" s="22"/>
      <c r="AG15" s="24" t="s">
        <v>239</v>
      </c>
    </row>
    <row r="16" spans="1:35" ht="40.5" customHeight="1" x14ac:dyDescent="0.25">
      <c r="A16" s="31" t="s">
        <v>46</v>
      </c>
      <c r="B16" s="20" t="s">
        <v>47</v>
      </c>
      <c r="C16" s="20" t="s">
        <v>240</v>
      </c>
      <c r="D16" s="30" t="s">
        <v>230</v>
      </c>
      <c r="E16" s="80" t="str">
        <f t="shared" si="0"/>
        <v>Chris MacLaren</v>
      </c>
      <c r="F16" s="80" t="s">
        <v>37</v>
      </c>
      <c r="G16" s="20" t="s">
        <v>38</v>
      </c>
      <c r="H16" s="20" t="s">
        <v>380</v>
      </c>
      <c r="I16" s="17"/>
      <c r="J16" s="20" t="s">
        <v>224</v>
      </c>
      <c r="K16" s="20" t="s">
        <v>226</v>
      </c>
      <c r="L16" s="20" t="s">
        <v>374</v>
      </c>
      <c r="M16" s="15"/>
      <c r="N16" s="15"/>
      <c r="O16" s="15"/>
      <c r="P16" s="15" t="s">
        <v>199</v>
      </c>
      <c r="Q16" s="15" t="s">
        <v>199</v>
      </c>
      <c r="R16" s="15"/>
      <c r="S16" s="15"/>
      <c r="T16" s="15"/>
      <c r="U16" s="21">
        <f>SUM(INDEX([4]Weighting!$B$2:$C$40,MATCH(V$1,[4]Weighting!$A$2:$A$10,0),MATCH(V16,[4]Weighting!$B$1:$C$1,0)),INDEX([4]Weighting!$B$2:$C$40,MATCH(W$1,[4]Weighting!$A$2:$A$10,0),MATCH(W16,[4]Weighting!$B$1:$C$1,0)),INDEX([4]Weighting!$B$2:$C$40,MATCH(X$1,[4]Weighting!$A$2:$A$10,0),MATCH(X16,[4]Weighting!$B$1:$C$1,0)),INDEX([4]Weighting!$B$2:$C$40,MATCH(Y$1,[4]Weighting!$A$2:$A$10,0),MATCH(Y16,[4]Weighting!$B$1:$C$1,0)),INDEX([4]Weighting!$B$2:$C$40,MATCH(Z$1,[4]Weighting!$A$2:$A$10,0),MATCH(Z16,[4]Weighting!$B$1:$C$1,0)),INDEX([4]Weighting!$B$2:$C$40,MATCH(AA$1,[4]Weighting!$A$2:$A$10,0),MATCH(AA16,[4]Weighting!$B$1:$C$1,0)),INDEX([4]Weighting!$B$2:$C$40,MATCH(AB$1,[4]Weighting!$A$2:$A$10,0),MATCH(AB16,[4]Weighting!$B$1:$C$1,0)),INDEX([4]Weighting!$B$2:$C$40,MATCH(AC$1,[4]Weighting!$A$2:$A$10,0),MATCH(AC16,[4]Weighting!$B$1:$C$1,0)),INDEX([4]Weighting!$B$2:$C$40,MATCH(AD$1,[4]Weighting!$A$2:$A$10,0),MATCH(AD16,[4]Weighting!$B$1:$C$1,0)),VLOOKUP(J16,'[4]List table'!$C$2:$D$5,2,0))</f>
        <v>8</v>
      </c>
      <c r="V16" s="22" t="s">
        <v>199</v>
      </c>
      <c r="W16" s="22" t="s">
        <v>226</v>
      </c>
      <c r="X16" s="22" t="s">
        <v>226</v>
      </c>
      <c r="Y16" s="22" t="s">
        <v>226</v>
      </c>
      <c r="Z16" s="22" t="s">
        <v>199</v>
      </c>
      <c r="AA16" s="22" t="s">
        <v>226</v>
      </c>
      <c r="AB16" s="22" t="s">
        <v>226</v>
      </c>
      <c r="AC16" s="22" t="s">
        <v>199</v>
      </c>
      <c r="AD16" s="22" t="s">
        <v>226</v>
      </c>
      <c r="AE16" s="22" t="s">
        <v>226</v>
      </c>
      <c r="AF16" s="22"/>
      <c r="AG16" s="24" t="s">
        <v>241</v>
      </c>
    </row>
    <row r="17" spans="1:33" s="42" customFormat="1" ht="122.65" hidden="1" customHeight="1" x14ac:dyDescent="0.25">
      <c r="A17" s="35" t="s">
        <v>424</v>
      </c>
      <c r="B17" s="36" t="s">
        <v>425</v>
      </c>
      <c r="C17" s="36" t="s">
        <v>426</v>
      </c>
      <c r="D17" s="36" t="s">
        <v>427</v>
      </c>
      <c r="E17" s="83" t="str">
        <f t="shared" si="0"/>
        <v>Danielle Lin (Not Applicable)</v>
      </c>
      <c r="F17" s="83" t="str">
        <f>E17</f>
        <v>Danielle Lin (Not Applicable)</v>
      </c>
      <c r="G17" s="36" t="s">
        <v>38</v>
      </c>
      <c r="H17" s="36" t="s">
        <v>428</v>
      </c>
      <c r="I17" s="37"/>
      <c r="J17" s="36" t="s">
        <v>224</v>
      </c>
      <c r="K17" s="36" t="s">
        <v>226</v>
      </c>
      <c r="L17" s="36" t="s">
        <v>97</v>
      </c>
      <c r="M17" s="38"/>
      <c r="N17" s="38"/>
      <c r="O17" s="38"/>
      <c r="P17" s="38" t="s">
        <v>199</v>
      </c>
      <c r="Q17" s="38" t="s">
        <v>199</v>
      </c>
      <c r="R17" s="38"/>
      <c r="S17" s="38"/>
      <c r="T17" s="38"/>
      <c r="U17" s="40">
        <f>SUM(INDEX([4]Weighting!$B$2:$C$40,MATCH(V$1,[4]Weighting!$A$2:$A$10,0),MATCH(V17,[4]Weighting!$B$1:$C$1,0)),INDEX([4]Weighting!$B$2:$C$40,MATCH(W$1,[4]Weighting!$A$2:$A$10,0),MATCH(W17,[4]Weighting!$B$1:$C$1,0)),INDEX([4]Weighting!$B$2:$C$40,MATCH(X$1,[4]Weighting!$A$2:$A$10,0),MATCH(X17,[4]Weighting!$B$1:$C$1,0)),INDEX([4]Weighting!$B$2:$C$40,MATCH(Y$1,[4]Weighting!$A$2:$A$10,0),MATCH(Y17,[4]Weighting!$B$1:$C$1,0)),INDEX([4]Weighting!$B$2:$C$40,MATCH(Z$1,[4]Weighting!$A$2:$A$10,0),MATCH(Z17,[4]Weighting!$B$1:$C$1,0)),INDEX([4]Weighting!$B$2:$C$40,MATCH(AA$1,[4]Weighting!$A$2:$A$10,0),MATCH(AA17,[4]Weighting!$B$1:$C$1,0)),INDEX([4]Weighting!$B$2:$C$40,MATCH(AB$1,[4]Weighting!$A$2:$A$10,0),MATCH(AB17,[4]Weighting!$B$1:$C$1,0)),INDEX([4]Weighting!$B$2:$C$40,MATCH(AC$1,[4]Weighting!$A$2:$A$10,0),MATCH(AC17,[4]Weighting!$B$1:$C$1,0)),INDEX([4]Weighting!$B$2:$C$40,MATCH(AD$1,[4]Weighting!$A$2:$A$10,0),MATCH(AD17,[4]Weighting!$B$1:$C$1,0)),VLOOKUP(J17,'[4]List table'!$C$2:$D$5,2,0))</f>
        <v>8</v>
      </c>
      <c r="V17" s="41" t="s">
        <v>199</v>
      </c>
      <c r="W17" s="41" t="s">
        <v>226</v>
      </c>
      <c r="X17" s="41" t="s">
        <v>199</v>
      </c>
      <c r="Y17" s="41" t="s">
        <v>226</v>
      </c>
      <c r="Z17" s="41" t="s">
        <v>226</v>
      </c>
      <c r="AA17" s="41" t="s">
        <v>226</v>
      </c>
      <c r="AB17" s="41" t="s">
        <v>226</v>
      </c>
      <c r="AC17" s="41" t="s">
        <v>199</v>
      </c>
      <c r="AD17" s="41" t="s">
        <v>226</v>
      </c>
      <c r="AE17" s="41" t="s">
        <v>226</v>
      </c>
      <c r="AF17" s="41"/>
      <c r="AG17" s="42" t="s">
        <v>429</v>
      </c>
    </row>
    <row r="18" spans="1:33" ht="30" x14ac:dyDescent="0.25">
      <c r="A18" s="31" t="s">
        <v>48</v>
      </c>
      <c r="B18" s="20" t="s">
        <v>49</v>
      </c>
      <c r="C18" s="20" t="s">
        <v>242</v>
      </c>
      <c r="D18" s="20" t="s">
        <v>41</v>
      </c>
      <c r="E18" s="82" t="str">
        <f t="shared" si="0"/>
        <v>Gregory Stoeckl</v>
      </c>
      <c r="F18" s="82" t="s">
        <v>37</v>
      </c>
      <c r="G18" s="20" t="s">
        <v>38</v>
      </c>
      <c r="H18" s="20" t="s">
        <v>377</v>
      </c>
      <c r="I18" s="18" t="s">
        <v>233</v>
      </c>
      <c r="J18" s="20" t="s">
        <v>224</v>
      </c>
      <c r="K18" s="20" t="s">
        <v>226</v>
      </c>
      <c r="L18" s="20" t="s">
        <v>378</v>
      </c>
      <c r="M18" s="15"/>
      <c r="N18" s="15"/>
      <c r="O18" s="15"/>
      <c r="P18" s="15" t="s">
        <v>199</v>
      </c>
      <c r="Q18" s="15" t="s">
        <v>199</v>
      </c>
      <c r="R18" s="15"/>
      <c r="S18" s="15"/>
      <c r="T18" s="15"/>
      <c r="U18" s="21">
        <f>SUM(INDEX([4]Weighting!$B$2:$C$40,MATCH(V$1,[4]Weighting!$A$2:$A$10,0),MATCH(V18,[4]Weighting!$B$1:$C$1,0)),INDEX([4]Weighting!$B$2:$C$40,MATCH(W$1,[4]Weighting!$A$2:$A$10,0),MATCH(W18,[4]Weighting!$B$1:$C$1,0)),INDEX([4]Weighting!$B$2:$C$40,MATCH(X$1,[4]Weighting!$A$2:$A$10,0),MATCH(X18,[4]Weighting!$B$1:$C$1,0)),INDEX([4]Weighting!$B$2:$C$40,MATCH(Y$1,[4]Weighting!$A$2:$A$10,0),MATCH(Y18,[4]Weighting!$B$1:$C$1,0)),INDEX([4]Weighting!$B$2:$C$40,MATCH(Z$1,[4]Weighting!$A$2:$A$10,0),MATCH(Z18,[4]Weighting!$B$1:$C$1,0)),INDEX([4]Weighting!$B$2:$C$40,MATCH(AA$1,[4]Weighting!$A$2:$A$10,0),MATCH(AA18,[4]Weighting!$B$1:$C$1,0)),INDEX([4]Weighting!$B$2:$C$40,MATCH(AB$1,[4]Weighting!$A$2:$A$10,0),MATCH(AB18,[4]Weighting!$B$1:$C$1,0)),INDEX([4]Weighting!$B$2:$C$40,MATCH(AC$1,[4]Weighting!$A$2:$A$10,0),MATCH(AC18,[4]Weighting!$B$1:$C$1,0)),INDEX([4]Weighting!$B$2:$C$40,MATCH(AD$1,[4]Weighting!$A$2:$A$10,0),MATCH(AD18,[4]Weighting!$B$1:$C$1,0)),VLOOKUP(J18,'[4]List table'!$C$2:$D$5,2,0))</f>
        <v>12</v>
      </c>
      <c r="V18" s="22" t="s">
        <v>199</v>
      </c>
      <c r="W18" s="22" t="s">
        <v>199</v>
      </c>
      <c r="X18" s="22" t="s">
        <v>199</v>
      </c>
      <c r="Y18" s="22" t="s">
        <v>226</v>
      </c>
      <c r="Z18" s="22" t="s">
        <v>199</v>
      </c>
      <c r="AA18" s="22" t="s">
        <v>226</v>
      </c>
      <c r="AB18" s="22" t="s">
        <v>199</v>
      </c>
      <c r="AC18" s="22" t="s">
        <v>199</v>
      </c>
      <c r="AD18" s="22" t="s">
        <v>226</v>
      </c>
      <c r="AE18" s="22" t="s">
        <v>226</v>
      </c>
      <c r="AF18" s="22"/>
      <c r="AG18" s="24" t="s">
        <v>243</v>
      </c>
    </row>
    <row r="19" spans="1:33" ht="30" x14ac:dyDescent="0.25">
      <c r="A19" s="31" t="s">
        <v>50</v>
      </c>
      <c r="B19" s="20" t="s">
        <v>51</v>
      </c>
      <c r="C19" s="20" t="s">
        <v>244</v>
      </c>
      <c r="D19" s="30" t="s">
        <v>230</v>
      </c>
      <c r="E19" s="80" t="str">
        <f t="shared" si="0"/>
        <v>Chris MacLaren</v>
      </c>
      <c r="F19" s="80" t="s">
        <v>37</v>
      </c>
      <c r="G19" s="20" t="s">
        <v>38</v>
      </c>
      <c r="H19" s="20" t="s">
        <v>381</v>
      </c>
      <c r="I19" s="17"/>
      <c r="J19" s="20" t="s">
        <v>224</v>
      </c>
      <c r="K19" s="20" t="s">
        <v>226</v>
      </c>
      <c r="L19" s="20" t="s">
        <v>382</v>
      </c>
      <c r="M19" s="15"/>
      <c r="N19" s="15"/>
      <c r="O19" s="15"/>
      <c r="P19" s="15" t="s">
        <v>199</v>
      </c>
      <c r="Q19" s="15" t="s">
        <v>226</v>
      </c>
      <c r="R19" s="15"/>
      <c r="S19" s="15"/>
      <c r="T19" s="15"/>
      <c r="U19" s="21" t="e">
        <f>SUM(INDEX([4]Weighting!$B$2:$C$40,MATCH(V$1,[4]Weighting!$A$2:$A$10,0),MATCH(V19,[4]Weighting!$B$1:$C$1,0)),INDEX([4]Weighting!$B$2:$C$40,MATCH(W$1,[4]Weighting!$A$2:$A$10,0),MATCH(W19,[4]Weighting!$B$1:$C$1,0)),INDEX([4]Weighting!$B$2:$C$40,MATCH(X$1,[4]Weighting!$A$2:$A$10,0),MATCH(X19,[4]Weighting!$B$1:$C$1,0)),INDEX([4]Weighting!$B$2:$C$40,MATCH(Y$1,[4]Weighting!$A$2:$A$10,0),MATCH(Y19,[4]Weighting!$B$1:$C$1,0)),INDEX([4]Weighting!$B$2:$C$40,MATCH(Z$1,[4]Weighting!$A$2:$A$10,0),MATCH(Z19,[4]Weighting!$B$1:$C$1,0)),INDEX([4]Weighting!$B$2:$C$40,MATCH(AA$1,[4]Weighting!$A$2:$A$10,0),MATCH(AA19,[4]Weighting!$B$1:$C$1,0)),INDEX([4]Weighting!$B$2:$C$40,MATCH(AB$1,[4]Weighting!$A$2:$A$10,0),MATCH(AB19,[4]Weighting!$B$1:$C$1,0)),INDEX([4]Weighting!$B$2:$C$40,MATCH(AC$1,[4]Weighting!$A$2:$A$10,0),MATCH(AC19,[4]Weighting!$B$1:$C$1,0)),INDEX([4]Weighting!$B$2:$C$40,MATCH(AD$1,[4]Weighting!$A$2:$A$10,0),MATCH(AD19,[4]Weighting!$B$1:$C$1,0)),VLOOKUP(J19,'[4]List table'!$C$2:$D$5,2,0))</f>
        <v>#N/A</v>
      </c>
      <c r="V19" s="22"/>
      <c r="W19" s="22"/>
      <c r="X19" s="22"/>
      <c r="Y19" s="22"/>
      <c r="Z19" s="22"/>
      <c r="AA19" s="22"/>
      <c r="AB19" s="22"/>
      <c r="AC19" s="22"/>
      <c r="AD19" s="22"/>
      <c r="AE19" s="22"/>
      <c r="AF19" s="22"/>
      <c r="AG19" s="24" t="s">
        <v>245</v>
      </c>
    </row>
    <row r="20" spans="1:33" ht="105" hidden="1" x14ac:dyDescent="0.25">
      <c r="A20" s="31" t="s">
        <v>52</v>
      </c>
      <c r="B20" s="20" t="s">
        <v>53</v>
      </c>
      <c r="C20" s="20" t="s">
        <v>246</v>
      </c>
      <c r="D20" s="20" t="s">
        <v>247</v>
      </c>
      <c r="E20" s="82" t="str">
        <f t="shared" si="0"/>
        <v>Jason Le</v>
      </c>
      <c r="F20" s="82" t="s">
        <v>54</v>
      </c>
      <c r="G20" s="20" t="s">
        <v>55</v>
      </c>
      <c r="H20" s="20" t="s">
        <v>383</v>
      </c>
      <c r="I20" s="17" t="s">
        <v>248</v>
      </c>
      <c r="J20" s="20" t="s">
        <v>224</v>
      </c>
      <c r="K20" s="20" t="s">
        <v>226</v>
      </c>
      <c r="L20" s="20" t="s">
        <v>378</v>
      </c>
      <c r="M20" s="15"/>
      <c r="N20" s="15"/>
      <c r="O20" s="15"/>
      <c r="P20" s="15" t="s">
        <v>199</v>
      </c>
      <c r="Q20" s="15" t="s">
        <v>199</v>
      </c>
      <c r="R20" s="15"/>
      <c r="S20" s="15"/>
      <c r="T20" s="15"/>
      <c r="U20" s="21">
        <f>SUM(INDEX([4]Weighting!$B$2:$C$40,MATCH(V$1,[4]Weighting!$A$2:$A$10,0),MATCH(V20,[4]Weighting!$B$1:$C$1,0)),INDEX([4]Weighting!$B$2:$C$40,MATCH(W$1,[4]Weighting!$A$2:$A$10,0),MATCH(W20,[4]Weighting!$B$1:$C$1,0)),INDEX([4]Weighting!$B$2:$C$40,MATCH(X$1,[4]Weighting!$A$2:$A$10,0),MATCH(X20,[4]Weighting!$B$1:$C$1,0)),INDEX([4]Weighting!$B$2:$C$40,MATCH(Y$1,[4]Weighting!$A$2:$A$10,0),MATCH(Y20,[4]Weighting!$B$1:$C$1,0)),INDEX([4]Weighting!$B$2:$C$40,MATCH(Z$1,[4]Weighting!$A$2:$A$10,0),MATCH(Z20,[4]Weighting!$B$1:$C$1,0)),INDEX([4]Weighting!$B$2:$C$40,MATCH(AA$1,[4]Weighting!$A$2:$A$10,0),MATCH(AA20,[4]Weighting!$B$1:$C$1,0)),INDEX([4]Weighting!$B$2:$C$40,MATCH(AB$1,[4]Weighting!$A$2:$A$10,0),MATCH(AB20,[4]Weighting!$B$1:$C$1,0)),INDEX([4]Weighting!$B$2:$C$40,MATCH(AC$1,[4]Weighting!$A$2:$A$10,0),MATCH(AC20,[4]Weighting!$B$1:$C$1,0)),INDEX([4]Weighting!$B$2:$C$40,MATCH(AD$1,[4]Weighting!$A$2:$A$10,0),MATCH(AD20,[4]Weighting!$B$1:$C$1,0)),VLOOKUP(J20,'[4]List table'!$C$2:$D$5,2,0))</f>
        <v>14</v>
      </c>
      <c r="V20" s="22" t="s">
        <v>199</v>
      </c>
      <c r="W20" s="22" t="s">
        <v>199</v>
      </c>
      <c r="X20" s="22" t="s">
        <v>226</v>
      </c>
      <c r="Y20" s="22" t="s">
        <v>199</v>
      </c>
      <c r="Z20" s="22" t="s">
        <v>199</v>
      </c>
      <c r="AA20" s="22" t="s">
        <v>226</v>
      </c>
      <c r="AB20" s="22" t="s">
        <v>226</v>
      </c>
      <c r="AC20" s="22" t="s">
        <v>199</v>
      </c>
      <c r="AD20" s="22" t="s">
        <v>226</v>
      </c>
      <c r="AE20" s="22" t="s">
        <v>226</v>
      </c>
      <c r="AF20" s="22"/>
    </row>
    <row r="21" spans="1:33" ht="120" hidden="1" x14ac:dyDescent="0.25">
      <c r="A21" s="31" t="s">
        <v>56</v>
      </c>
      <c r="B21" s="20" t="s">
        <v>57</v>
      </c>
      <c r="C21" s="20" t="s">
        <v>249</v>
      </c>
      <c r="D21" s="20" t="s">
        <v>58</v>
      </c>
      <c r="E21" s="82" t="str">
        <f t="shared" si="0"/>
        <v>Phil Vallee</v>
      </c>
      <c r="F21" s="82" t="s">
        <v>54</v>
      </c>
      <c r="G21" s="20" t="s">
        <v>55</v>
      </c>
      <c r="H21" s="20" t="s">
        <v>384</v>
      </c>
      <c r="I21" s="17"/>
      <c r="J21" s="20" t="s">
        <v>224</v>
      </c>
      <c r="K21" s="20" t="s">
        <v>226</v>
      </c>
      <c r="L21" s="20" t="s">
        <v>378</v>
      </c>
      <c r="M21" s="15"/>
      <c r="N21" s="15"/>
      <c r="O21" s="15"/>
      <c r="P21" s="15" t="s">
        <v>199</v>
      </c>
      <c r="Q21" s="15" t="s">
        <v>199</v>
      </c>
      <c r="R21" s="15"/>
      <c r="S21" s="15"/>
      <c r="T21" s="15"/>
      <c r="U21" s="21">
        <f>SUM(INDEX([4]Weighting!$B$2:$C$40,MATCH(V$1,[4]Weighting!$A$2:$A$10,0),MATCH(V21,[4]Weighting!$B$1:$C$1,0)),INDEX([4]Weighting!$B$2:$C$40,MATCH(W$1,[4]Weighting!$A$2:$A$10,0),MATCH(W21,[4]Weighting!$B$1:$C$1,0)),INDEX([4]Weighting!$B$2:$C$40,MATCH(X$1,[4]Weighting!$A$2:$A$10,0),MATCH(X21,[4]Weighting!$B$1:$C$1,0)),INDEX([4]Weighting!$B$2:$C$40,MATCH(Y$1,[4]Weighting!$A$2:$A$10,0),MATCH(Y21,[4]Weighting!$B$1:$C$1,0)),INDEX([4]Weighting!$B$2:$C$40,MATCH(Z$1,[4]Weighting!$A$2:$A$10,0),MATCH(Z21,[4]Weighting!$B$1:$C$1,0)),INDEX([4]Weighting!$B$2:$C$40,MATCH(AA$1,[4]Weighting!$A$2:$A$10,0),MATCH(AA21,[4]Weighting!$B$1:$C$1,0)),INDEX([4]Weighting!$B$2:$C$40,MATCH(AB$1,[4]Weighting!$A$2:$A$10,0),MATCH(AB21,[4]Weighting!$B$1:$C$1,0)),INDEX([4]Weighting!$B$2:$C$40,MATCH(AC$1,[4]Weighting!$A$2:$A$10,0),MATCH(AC21,[4]Weighting!$B$1:$C$1,0)),INDEX([4]Weighting!$B$2:$C$40,MATCH(AD$1,[4]Weighting!$A$2:$A$10,0),MATCH(AD21,[4]Weighting!$B$1:$C$1,0)),VLOOKUP(J21,'[4]List table'!$C$2:$D$5,2,0))</f>
        <v>13</v>
      </c>
      <c r="V21" s="22" t="s">
        <v>199</v>
      </c>
      <c r="W21" s="22" t="s">
        <v>199</v>
      </c>
      <c r="X21" s="22" t="s">
        <v>226</v>
      </c>
      <c r="Y21" s="22" t="s">
        <v>199</v>
      </c>
      <c r="Z21" s="22" t="s">
        <v>226</v>
      </c>
      <c r="AA21" s="22" t="s">
        <v>226</v>
      </c>
      <c r="AB21" s="22" t="s">
        <v>226</v>
      </c>
      <c r="AC21" s="22" t="s">
        <v>226</v>
      </c>
      <c r="AD21" s="22" t="s">
        <v>226</v>
      </c>
      <c r="AE21" s="22" t="s">
        <v>199</v>
      </c>
      <c r="AF21" s="22" t="s">
        <v>430</v>
      </c>
    </row>
    <row r="22" spans="1:33" ht="75" hidden="1" x14ac:dyDescent="0.25">
      <c r="A22" s="31" t="s">
        <v>59</v>
      </c>
      <c r="B22" s="20" t="s">
        <v>60</v>
      </c>
      <c r="C22" s="20" t="s">
        <v>250</v>
      </c>
      <c r="D22" s="20" t="s">
        <v>61</v>
      </c>
      <c r="E22" s="82" t="str">
        <f t="shared" si="0"/>
        <v>Sunil Thomas</v>
      </c>
      <c r="F22" s="82" t="s">
        <v>54</v>
      </c>
      <c r="G22" s="20" t="s">
        <v>55</v>
      </c>
      <c r="H22" s="20" t="s">
        <v>385</v>
      </c>
      <c r="I22" s="17"/>
      <c r="J22" s="20" t="s">
        <v>224</v>
      </c>
      <c r="K22" s="20" t="s">
        <v>226</v>
      </c>
      <c r="L22" s="20" t="s">
        <v>378</v>
      </c>
      <c r="M22" s="15"/>
      <c r="N22" s="15"/>
      <c r="O22" s="15"/>
      <c r="P22" s="15" t="s">
        <v>199</v>
      </c>
      <c r="Q22" s="15" t="s">
        <v>199</v>
      </c>
      <c r="R22" s="15"/>
      <c r="S22" s="15"/>
      <c r="T22" s="15"/>
      <c r="U22" s="21">
        <f>SUM(INDEX([4]Weighting!$B$2:$C$40,MATCH(V$1,[4]Weighting!$A$2:$A$10,0),MATCH(V22,[4]Weighting!$B$1:$C$1,0)),INDEX([4]Weighting!$B$2:$C$40,MATCH(W$1,[4]Weighting!$A$2:$A$10,0),MATCH(W22,[4]Weighting!$B$1:$C$1,0)),INDEX([4]Weighting!$B$2:$C$40,MATCH(X$1,[4]Weighting!$A$2:$A$10,0),MATCH(X22,[4]Weighting!$B$1:$C$1,0)),INDEX([4]Weighting!$B$2:$C$40,MATCH(Y$1,[4]Weighting!$A$2:$A$10,0),MATCH(Y22,[4]Weighting!$B$1:$C$1,0)),INDEX([4]Weighting!$B$2:$C$40,MATCH(Z$1,[4]Weighting!$A$2:$A$10,0),MATCH(Z22,[4]Weighting!$B$1:$C$1,0)),INDEX([4]Weighting!$B$2:$C$40,MATCH(AA$1,[4]Weighting!$A$2:$A$10,0),MATCH(AA22,[4]Weighting!$B$1:$C$1,0)),INDEX([4]Weighting!$B$2:$C$40,MATCH(AB$1,[4]Weighting!$A$2:$A$10,0),MATCH(AB22,[4]Weighting!$B$1:$C$1,0)),INDEX([4]Weighting!$B$2:$C$40,MATCH(AC$1,[4]Weighting!$A$2:$A$10,0),MATCH(AC22,[4]Weighting!$B$1:$C$1,0)),INDEX([4]Weighting!$B$2:$C$40,MATCH(AD$1,[4]Weighting!$A$2:$A$10,0),MATCH(AD22,[4]Weighting!$B$1:$C$1,0)),VLOOKUP(J22,'[4]List table'!$C$2:$D$5,2,0))</f>
        <v>12</v>
      </c>
      <c r="V22" s="22" t="s">
        <v>199</v>
      </c>
      <c r="W22" s="22" t="s">
        <v>199</v>
      </c>
      <c r="X22" s="22" t="s">
        <v>199</v>
      </c>
      <c r="Y22" s="22" t="s">
        <v>199</v>
      </c>
      <c r="Z22" s="22" t="s">
        <v>199</v>
      </c>
      <c r="AA22" s="22" t="s">
        <v>199</v>
      </c>
      <c r="AB22" s="22" t="s">
        <v>226</v>
      </c>
      <c r="AC22" s="22" t="s">
        <v>199</v>
      </c>
      <c r="AD22" s="22" t="s">
        <v>199</v>
      </c>
      <c r="AE22" s="22" t="s">
        <v>226</v>
      </c>
      <c r="AF22" s="22"/>
    </row>
    <row r="23" spans="1:33" ht="150" hidden="1" x14ac:dyDescent="0.25">
      <c r="A23" s="31" t="s">
        <v>62</v>
      </c>
      <c r="B23" s="20" t="s">
        <v>63</v>
      </c>
      <c r="C23" s="20" t="s">
        <v>251</v>
      </c>
      <c r="D23" s="20" t="s">
        <v>252</v>
      </c>
      <c r="E23" s="82" t="str">
        <f t="shared" si="0"/>
        <v>Beverley Smyk</v>
      </c>
      <c r="F23" s="82" t="s">
        <v>54</v>
      </c>
      <c r="G23" s="20" t="s">
        <v>55</v>
      </c>
      <c r="H23" s="20"/>
      <c r="I23" s="17"/>
      <c r="J23" s="20" t="s">
        <v>224</v>
      </c>
      <c r="K23" s="20" t="s">
        <v>226</v>
      </c>
      <c r="L23" s="20" t="s">
        <v>379</v>
      </c>
      <c r="M23" s="15"/>
      <c r="N23" s="15"/>
      <c r="O23" s="15"/>
      <c r="P23" s="15" t="s">
        <v>199</v>
      </c>
      <c r="Q23" s="15" t="s">
        <v>199</v>
      </c>
      <c r="R23" s="15"/>
      <c r="S23" s="15"/>
      <c r="T23" s="15"/>
      <c r="U23" s="21">
        <f>SUM(INDEX([4]Weighting!$B$2:$C$40,MATCH(V$1,[4]Weighting!$A$2:$A$10,0),MATCH(V23,[4]Weighting!$B$1:$C$1,0)),INDEX([4]Weighting!$B$2:$C$40,MATCH(W$1,[4]Weighting!$A$2:$A$10,0),MATCH(W23,[4]Weighting!$B$1:$C$1,0)),INDEX([4]Weighting!$B$2:$C$40,MATCH(X$1,[4]Weighting!$A$2:$A$10,0),MATCH(X23,[4]Weighting!$B$1:$C$1,0)),INDEX([4]Weighting!$B$2:$C$40,MATCH(Y$1,[4]Weighting!$A$2:$A$10,0),MATCH(Y23,[4]Weighting!$B$1:$C$1,0)),INDEX([4]Weighting!$B$2:$C$40,MATCH(Z$1,[4]Weighting!$A$2:$A$10,0),MATCH(Z23,[4]Weighting!$B$1:$C$1,0)),INDEX([4]Weighting!$B$2:$C$40,MATCH(AA$1,[4]Weighting!$A$2:$A$10,0),MATCH(AA23,[4]Weighting!$B$1:$C$1,0)),INDEX([4]Weighting!$B$2:$C$40,MATCH(AB$1,[4]Weighting!$A$2:$A$10,0),MATCH(AB23,[4]Weighting!$B$1:$C$1,0)),INDEX([4]Weighting!$B$2:$C$40,MATCH(AC$1,[4]Weighting!$A$2:$A$10,0),MATCH(AC23,[4]Weighting!$B$1:$C$1,0)),INDEX([4]Weighting!$B$2:$C$40,MATCH(AD$1,[4]Weighting!$A$2:$A$10,0),MATCH(AD23,[4]Weighting!$B$1:$C$1,0)),VLOOKUP(J23,'[4]List table'!$C$2:$D$5,2,0))</f>
        <v>14</v>
      </c>
      <c r="V23" s="22" t="s">
        <v>199</v>
      </c>
      <c r="W23" s="22" t="s">
        <v>226</v>
      </c>
      <c r="X23" s="22" t="s">
        <v>226</v>
      </c>
      <c r="Y23" s="22" t="s">
        <v>199</v>
      </c>
      <c r="Z23" s="22" t="s">
        <v>199</v>
      </c>
      <c r="AA23" s="22" t="s">
        <v>226</v>
      </c>
      <c r="AB23" s="22" t="s">
        <v>199</v>
      </c>
      <c r="AC23" s="22" t="s">
        <v>199</v>
      </c>
      <c r="AD23" s="22" t="s">
        <v>199</v>
      </c>
      <c r="AE23" s="22" t="s">
        <v>226</v>
      </c>
      <c r="AF23" s="22"/>
    </row>
    <row r="24" spans="1:33" ht="135" hidden="1" x14ac:dyDescent="0.25">
      <c r="A24" s="31" t="s">
        <v>65</v>
      </c>
      <c r="B24" s="20" t="s">
        <v>66</v>
      </c>
      <c r="C24" s="20" t="s">
        <v>253</v>
      </c>
      <c r="D24" s="20" t="s">
        <v>61</v>
      </c>
      <c r="E24" s="82" t="str">
        <f t="shared" si="0"/>
        <v>Sunil Thomas</v>
      </c>
      <c r="F24" s="82" t="s">
        <v>54</v>
      </c>
      <c r="G24" s="20" t="s">
        <v>55</v>
      </c>
      <c r="H24" s="20" t="s">
        <v>385</v>
      </c>
      <c r="I24" s="17"/>
      <c r="J24" s="20" t="s">
        <v>224</v>
      </c>
      <c r="K24" s="20" t="s">
        <v>226</v>
      </c>
      <c r="L24" s="20" t="s">
        <v>378</v>
      </c>
      <c r="M24" s="15"/>
      <c r="N24" s="15"/>
      <c r="O24" s="15"/>
      <c r="P24" s="15" t="s">
        <v>199</v>
      </c>
      <c r="Q24" s="15" t="s">
        <v>199</v>
      </c>
      <c r="R24" s="15"/>
      <c r="S24" s="15"/>
      <c r="T24" s="15"/>
      <c r="U24" s="21">
        <f>SUM(INDEX([4]Weighting!$B$2:$C$40,MATCH(V$1,[4]Weighting!$A$2:$A$10,0),MATCH(V24,[4]Weighting!$B$1:$C$1,0)),INDEX([4]Weighting!$B$2:$C$40,MATCH(W$1,[4]Weighting!$A$2:$A$10,0),MATCH(W24,[4]Weighting!$B$1:$C$1,0)),INDEX([4]Weighting!$B$2:$C$40,MATCH(X$1,[4]Weighting!$A$2:$A$10,0),MATCH(X24,[4]Weighting!$B$1:$C$1,0)),INDEX([4]Weighting!$B$2:$C$40,MATCH(Y$1,[4]Weighting!$A$2:$A$10,0),MATCH(Y24,[4]Weighting!$B$1:$C$1,0)),INDEX([4]Weighting!$B$2:$C$40,MATCH(Z$1,[4]Weighting!$A$2:$A$10,0),MATCH(Z24,[4]Weighting!$B$1:$C$1,0)),INDEX([4]Weighting!$B$2:$C$40,MATCH(AA$1,[4]Weighting!$A$2:$A$10,0),MATCH(AA24,[4]Weighting!$B$1:$C$1,0)),INDEX([4]Weighting!$B$2:$C$40,MATCH(AB$1,[4]Weighting!$A$2:$A$10,0),MATCH(AB24,[4]Weighting!$B$1:$C$1,0)),INDEX([4]Weighting!$B$2:$C$40,MATCH(AC$1,[4]Weighting!$A$2:$A$10,0),MATCH(AC24,[4]Weighting!$B$1:$C$1,0)),INDEX([4]Weighting!$B$2:$C$40,MATCH(AD$1,[4]Weighting!$A$2:$A$10,0),MATCH(AD24,[4]Weighting!$B$1:$C$1,0)),VLOOKUP(J24,'[4]List table'!$C$2:$D$5,2,0))</f>
        <v>14</v>
      </c>
      <c r="V24" s="22" t="s">
        <v>199</v>
      </c>
      <c r="W24" s="22" t="s">
        <v>226</v>
      </c>
      <c r="X24" s="22" t="s">
        <v>226</v>
      </c>
      <c r="Y24" s="22" t="s">
        <v>199</v>
      </c>
      <c r="Z24" s="22" t="s">
        <v>199</v>
      </c>
      <c r="AA24" s="22" t="s">
        <v>226</v>
      </c>
      <c r="AB24" s="22" t="s">
        <v>199</v>
      </c>
      <c r="AC24" s="22" t="s">
        <v>199</v>
      </c>
      <c r="AD24" s="22" t="s">
        <v>199</v>
      </c>
      <c r="AE24" s="22" t="s">
        <v>226</v>
      </c>
      <c r="AF24" s="22"/>
    </row>
    <row r="25" spans="1:33" ht="60" hidden="1" x14ac:dyDescent="0.25">
      <c r="A25" s="31" t="s">
        <v>67</v>
      </c>
      <c r="B25" s="20" t="s">
        <v>68</v>
      </c>
      <c r="C25" s="20" t="s">
        <v>254</v>
      </c>
      <c r="D25" s="20" t="s">
        <v>64</v>
      </c>
      <c r="E25" s="82" t="str">
        <f t="shared" si="0"/>
        <v>Beverley Smyk</v>
      </c>
      <c r="F25" s="82" t="s">
        <v>54</v>
      </c>
      <c r="G25" s="20" t="s">
        <v>55</v>
      </c>
      <c r="H25" s="20"/>
      <c r="I25" s="17"/>
      <c r="J25" s="20" t="s">
        <v>224</v>
      </c>
      <c r="K25" s="20" t="s">
        <v>226</v>
      </c>
      <c r="L25" s="20" t="s">
        <v>376</v>
      </c>
      <c r="M25" s="15"/>
      <c r="N25" s="15"/>
      <c r="O25" s="15"/>
      <c r="P25" s="15" t="s">
        <v>199</v>
      </c>
      <c r="Q25" s="15" t="s">
        <v>199</v>
      </c>
      <c r="R25" s="15"/>
      <c r="S25" s="15"/>
      <c r="T25" s="15"/>
      <c r="U25" s="21">
        <f>SUM(INDEX([4]Weighting!$B$2:$C$40,MATCH(V$1,[4]Weighting!$A$2:$A$10,0),MATCH(V25,[4]Weighting!$B$1:$C$1,0)),INDEX([4]Weighting!$B$2:$C$40,MATCH(W$1,[4]Weighting!$A$2:$A$10,0),MATCH(W25,[4]Weighting!$B$1:$C$1,0)),INDEX([4]Weighting!$B$2:$C$40,MATCH(X$1,[4]Weighting!$A$2:$A$10,0),MATCH(X25,[4]Weighting!$B$1:$C$1,0)),INDEX([4]Weighting!$B$2:$C$40,MATCH(Y$1,[4]Weighting!$A$2:$A$10,0),MATCH(Y25,[4]Weighting!$B$1:$C$1,0)),INDEX([4]Weighting!$B$2:$C$40,MATCH(Z$1,[4]Weighting!$A$2:$A$10,0),MATCH(Z25,[4]Weighting!$B$1:$C$1,0)),INDEX([4]Weighting!$B$2:$C$40,MATCH(AA$1,[4]Weighting!$A$2:$A$10,0),MATCH(AA25,[4]Weighting!$B$1:$C$1,0)),INDEX([4]Weighting!$B$2:$C$40,MATCH(AB$1,[4]Weighting!$A$2:$A$10,0),MATCH(AB25,[4]Weighting!$B$1:$C$1,0)),INDEX([4]Weighting!$B$2:$C$40,MATCH(AC$1,[4]Weighting!$A$2:$A$10,0),MATCH(AC25,[4]Weighting!$B$1:$C$1,0)),INDEX([4]Weighting!$B$2:$C$40,MATCH(AD$1,[4]Weighting!$A$2:$A$10,0),MATCH(AD25,[4]Weighting!$B$1:$C$1,0)),VLOOKUP(J25,'[4]List table'!$C$2:$D$5,2,0))</f>
        <v>17</v>
      </c>
      <c r="V25" s="22" t="s">
        <v>199</v>
      </c>
      <c r="W25" s="22" t="s">
        <v>199</v>
      </c>
      <c r="X25" s="22" t="s">
        <v>226</v>
      </c>
      <c r="Y25" s="22" t="s">
        <v>199</v>
      </c>
      <c r="Z25" s="22" t="s">
        <v>199</v>
      </c>
      <c r="AA25" s="22" t="s">
        <v>226</v>
      </c>
      <c r="AB25" s="22" t="s">
        <v>199</v>
      </c>
      <c r="AC25" s="22" t="s">
        <v>199</v>
      </c>
      <c r="AD25" s="22" t="s">
        <v>199</v>
      </c>
      <c r="AE25" s="22" t="s">
        <v>226</v>
      </c>
      <c r="AF25" s="22"/>
    </row>
    <row r="26" spans="1:33" ht="51.75" hidden="1" customHeight="1" x14ac:dyDescent="0.25">
      <c r="A26" s="31" t="s">
        <v>69</v>
      </c>
      <c r="B26" s="20" t="s">
        <v>70</v>
      </c>
      <c r="C26" s="20" t="s">
        <v>255</v>
      </c>
      <c r="D26" s="20" t="s">
        <v>71</v>
      </c>
      <c r="E26" s="82" t="str">
        <f t="shared" si="0"/>
        <v>Dede Jawde</v>
      </c>
      <c r="F26" s="82" t="s">
        <v>54</v>
      </c>
      <c r="G26" s="20" t="s">
        <v>55</v>
      </c>
      <c r="H26" s="20"/>
      <c r="I26" s="17"/>
      <c r="J26" s="20" t="s">
        <v>224</v>
      </c>
      <c r="K26" s="20" t="s">
        <v>226</v>
      </c>
      <c r="L26" s="20" t="s">
        <v>376</v>
      </c>
      <c r="M26" s="15"/>
      <c r="N26" s="15"/>
      <c r="O26" s="15"/>
      <c r="P26" s="15" t="s">
        <v>199</v>
      </c>
      <c r="Q26" s="15" t="s">
        <v>199</v>
      </c>
      <c r="R26" s="15"/>
      <c r="S26" s="15"/>
      <c r="T26" s="15"/>
      <c r="U26" s="21">
        <f>SUM(INDEX([4]Weighting!$B$2:$C$40,MATCH(V$1,[4]Weighting!$A$2:$A$10,0),MATCH(V26,[4]Weighting!$B$1:$C$1,0)),INDEX([4]Weighting!$B$2:$C$40,MATCH(W$1,[4]Weighting!$A$2:$A$10,0),MATCH(W26,[4]Weighting!$B$1:$C$1,0)),INDEX([4]Weighting!$B$2:$C$40,MATCH(X$1,[4]Weighting!$A$2:$A$10,0),MATCH(X26,[4]Weighting!$B$1:$C$1,0)),INDEX([4]Weighting!$B$2:$C$40,MATCH(Y$1,[4]Weighting!$A$2:$A$10,0),MATCH(Y26,[4]Weighting!$B$1:$C$1,0)),INDEX([4]Weighting!$B$2:$C$40,MATCH(Z$1,[4]Weighting!$A$2:$A$10,0),MATCH(Z26,[4]Weighting!$B$1:$C$1,0)),INDEX([4]Weighting!$B$2:$C$40,MATCH(AA$1,[4]Weighting!$A$2:$A$10,0),MATCH(AA26,[4]Weighting!$B$1:$C$1,0)),INDEX([4]Weighting!$B$2:$C$40,MATCH(AB$1,[4]Weighting!$A$2:$A$10,0),MATCH(AB26,[4]Weighting!$B$1:$C$1,0)),INDEX([4]Weighting!$B$2:$C$40,MATCH(AC$1,[4]Weighting!$A$2:$A$10,0),MATCH(AC26,[4]Weighting!$B$1:$C$1,0)),INDEX([4]Weighting!$B$2:$C$40,MATCH(AD$1,[4]Weighting!$A$2:$A$10,0),MATCH(AD26,[4]Weighting!$B$1:$C$1,0)),VLOOKUP(J26,'[4]List table'!$C$2:$D$5,2,0))</f>
        <v>11</v>
      </c>
      <c r="V26" s="22" t="s">
        <v>199</v>
      </c>
      <c r="W26" s="22" t="s">
        <v>226</v>
      </c>
      <c r="X26" s="22" t="s">
        <v>226</v>
      </c>
      <c r="Y26" s="22" t="s">
        <v>199</v>
      </c>
      <c r="Z26" s="22" t="s">
        <v>226</v>
      </c>
      <c r="AA26" s="22" t="s">
        <v>226</v>
      </c>
      <c r="AB26" s="22" t="s">
        <v>226</v>
      </c>
      <c r="AC26" s="22" t="s">
        <v>226</v>
      </c>
      <c r="AD26" s="22" t="s">
        <v>199</v>
      </c>
      <c r="AE26" s="22" t="s">
        <v>226</v>
      </c>
      <c r="AF26" s="22"/>
    </row>
    <row r="27" spans="1:33" ht="87" hidden="1" customHeight="1" x14ac:dyDescent="0.25">
      <c r="A27" s="31" t="s">
        <v>72</v>
      </c>
      <c r="B27" s="20" t="s">
        <v>73</v>
      </c>
      <c r="C27" s="20" t="s">
        <v>256</v>
      </c>
      <c r="D27" s="20" t="s">
        <v>74</v>
      </c>
      <c r="E27" s="82" t="str">
        <f t="shared" si="0"/>
        <v>Jarrod Hakker</v>
      </c>
      <c r="F27" s="82" t="s">
        <v>54</v>
      </c>
      <c r="G27" s="20" t="s">
        <v>55</v>
      </c>
      <c r="H27" s="20"/>
      <c r="I27" s="17"/>
      <c r="J27" s="20" t="s">
        <v>224</v>
      </c>
      <c r="K27" s="20" t="s">
        <v>226</v>
      </c>
      <c r="L27" s="20" t="s">
        <v>376</v>
      </c>
      <c r="M27" s="15"/>
      <c r="N27" s="15"/>
      <c r="O27" s="15"/>
      <c r="P27" s="15" t="s">
        <v>199</v>
      </c>
      <c r="Q27" s="15" t="s">
        <v>199</v>
      </c>
      <c r="R27" s="15"/>
      <c r="S27" s="15"/>
      <c r="T27" s="15"/>
      <c r="U27" s="21">
        <f>SUM(INDEX([4]Weighting!$B$2:$C$40,MATCH(V$1,[4]Weighting!$A$2:$A$10,0),MATCH(V27,[4]Weighting!$B$1:$C$1,0)),INDEX([4]Weighting!$B$2:$C$40,MATCH(W$1,[4]Weighting!$A$2:$A$10,0),MATCH(W27,[4]Weighting!$B$1:$C$1,0)),INDEX([4]Weighting!$B$2:$C$40,MATCH(X$1,[4]Weighting!$A$2:$A$10,0),MATCH(X27,[4]Weighting!$B$1:$C$1,0)),INDEX([4]Weighting!$B$2:$C$40,MATCH(Y$1,[4]Weighting!$A$2:$A$10,0),MATCH(Y27,[4]Weighting!$B$1:$C$1,0)),INDEX([4]Weighting!$B$2:$C$40,MATCH(Z$1,[4]Weighting!$A$2:$A$10,0),MATCH(Z27,[4]Weighting!$B$1:$C$1,0)),INDEX([4]Weighting!$B$2:$C$40,MATCH(AA$1,[4]Weighting!$A$2:$A$10,0),MATCH(AA27,[4]Weighting!$B$1:$C$1,0)),INDEX([4]Weighting!$B$2:$C$40,MATCH(AB$1,[4]Weighting!$A$2:$A$10,0),MATCH(AB27,[4]Weighting!$B$1:$C$1,0)),INDEX([4]Weighting!$B$2:$C$40,MATCH(AC$1,[4]Weighting!$A$2:$A$10,0),MATCH(AC27,[4]Weighting!$B$1:$C$1,0)),INDEX([4]Weighting!$B$2:$C$40,MATCH(AD$1,[4]Weighting!$A$2:$A$10,0),MATCH(AD27,[4]Weighting!$B$1:$C$1,0)),VLOOKUP(J27,'[4]List table'!$C$2:$D$5,2,0))</f>
        <v>11</v>
      </c>
      <c r="V27" s="22" t="s">
        <v>199</v>
      </c>
      <c r="W27" s="22" t="s">
        <v>226</v>
      </c>
      <c r="X27" s="22" t="s">
        <v>226</v>
      </c>
      <c r="Y27" s="22" t="s">
        <v>199</v>
      </c>
      <c r="Z27" s="22" t="s">
        <v>226</v>
      </c>
      <c r="AA27" s="22" t="s">
        <v>226</v>
      </c>
      <c r="AB27" s="22" t="s">
        <v>226</v>
      </c>
      <c r="AC27" s="22" t="s">
        <v>226</v>
      </c>
      <c r="AD27" s="22" t="s">
        <v>199</v>
      </c>
      <c r="AE27" s="22" t="s">
        <v>226</v>
      </c>
      <c r="AF27" s="22"/>
    </row>
    <row r="28" spans="1:33" ht="90" hidden="1" x14ac:dyDescent="0.25">
      <c r="A28" s="31" t="s">
        <v>75</v>
      </c>
      <c r="B28" s="20" t="s">
        <v>76</v>
      </c>
      <c r="C28" s="20" t="s">
        <v>256</v>
      </c>
      <c r="D28" s="43" t="s">
        <v>77</v>
      </c>
      <c r="E28" s="82" t="str">
        <f t="shared" si="0"/>
        <v>Deirdre Grier (Ireland)</v>
      </c>
      <c r="F28" s="82" t="s">
        <v>54</v>
      </c>
      <c r="G28" s="20" t="s">
        <v>55</v>
      </c>
      <c r="H28" s="20"/>
      <c r="I28" s="17"/>
      <c r="J28" s="20" t="s">
        <v>224</v>
      </c>
      <c r="K28" s="20" t="s">
        <v>226</v>
      </c>
      <c r="L28" s="20" t="s">
        <v>376</v>
      </c>
      <c r="M28" s="15"/>
      <c r="N28" s="15"/>
      <c r="O28" s="15"/>
      <c r="P28" s="15" t="s">
        <v>199</v>
      </c>
      <c r="Q28" s="15" t="s">
        <v>199</v>
      </c>
      <c r="R28" s="15"/>
      <c r="S28" s="15"/>
      <c r="T28" s="15"/>
      <c r="U28" s="21">
        <f>SUM(INDEX([4]Weighting!$B$2:$C$40,MATCH(V$1,[4]Weighting!$A$2:$A$10,0),MATCH(V28,[4]Weighting!$B$1:$C$1,0)),INDEX([4]Weighting!$B$2:$C$40,MATCH(W$1,[4]Weighting!$A$2:$A$10,0),MATCH(W28,[4]Weighting!$B$1:$C$1,0)),INDEX([4]Weighting!$B$2:$C$40,MATCH(X$1,[4]Weighting!$A$2:$A$10,0),MATCH(X28,[4]Weighting!$B$1:$C$1,0)),INDEX([4]Weighting!$B$2:$C$40,MATCH(Y$1,[4]Weighting!$A$2:$A$10,0),MATCH(Y28,[4]Weighting!$B$1:$C$1,0)),INDEX([4]Weighting!$B$2:$C$40,MATCH(Z$1,[4]Weighting!$A$2:$A$10,0),MATCH(Z28,[4]Weighting!$B$1:$C$1,0)),INDEX([4]Weighting!$B$2:$C$40,MATCH(AA$1,[4]Weighting!$A$2:$A$10,0),MATCH(AA28,[4]Weighting!$B$1:$C$1,0)),INDEX([4]Weighting!$B$2:$C$40,MATCH(AB$1,[4]Weighting!$A$2:$A$10,0),MATCH(AB28,[4]Weighting!$B$1:$C$1,0)),INDEX([4]Weighting!$B$2:$C$40,MATCH(AC$1,[4]Weighting!$A$2:$A$10,0),MATCH(AC28,[4]Weighting!$B$1:$C$1,0)),INDEX([4]Weighting!$B$2:$C$40,MATCH(AD$1,[4]Weighting!$A$2:$A$10,0),MATCH(AD28,[4]Weighting!$B$1:$C$1,0)),VLOOKUP(J28,'[4]List table'!$C$2:$D$5,2,0))</f>
        <v>13</v>
      </c>
      <c r="V28" s="22" t="s">
        <v>199</v>
      </c>
      <c r="W28" s="22" t="s">
        <v>226</v>
      </c>
      <c r="X28" s="22" t="s">
        <v>226</v>
      </c>
      <c r="Y28" s="22" t="s">
        <v>199</v>
      </c>
      <c r="Z28" s="22" t="s">
        <v>226</v>
      </c>
      <c r="AA28" s="22" t="s">
        <v>226</v>
      </c>
      <c r="AB28" s="22" t="s">
        <v>226</v>
      </c>
      <c r="AC28" s="22" t="s">
        <v>199</v>
      </c>
      <c r="AD28" s="22" t="s">
        <v>199</v>
      </c>
      <c r="AE28" s="22" t="s">
        <v>226</v>
      </c>
      <c r="AF28" s="22"/>
    </row>
    <row r="29" spans="1:33" ht="90" hidden="1" x14ac:dyDescent="0.25">
      <c r="A29" s="31" t="s">
        <v>78</v>
      </c>
      <c r="B29" s="20" t="s">
        <v>79</v>
      </c>
      <c r="C29" s="20" t="s">
        <v>256</v>
      </c>
      <c r="D29" s="43" t="s">
        <v>257</v>
      </c>
      <c r="E29" s="82" t="str">
        <f t="shared" si="0"/>
        <v>Mavis Chan</v>
      </c>
      <c r="F29" s="82" t="s">
        <v>54</v>
      </c>
      <c r="G29" s="20" t="s">
        <v>55</v>
      </c>
      <c r="H29" s="20"/>
      <c r="I29" s="17"/>
      <c r="J29" s="20" t="s">
        <v>224</v>
      </c>
      <c r="K29" s="20" t="s">
        <v>226</v>
      </c>
      <c r="L29" s="20" t="s">
        <v>376</v>
      </c>
      <c r="M29" s="15"/>
      <c r="N29" s="15"/>
      <c r="O29" s="15"/>
      <c r="P29" s="15" t="s">
        <v>199</v>
      </c>
      <c r="Q29" s="15" t="s">
        <v>199</v>
      </c>
      <c r="R29" s="15"/>
      <c r="S29" s="15"/>
      <c r="T29" s="15"/>
      <c r="U29" s="21">
        <f>SUM(INDEX([4]Weighting!$B$2:$C$40,MATCH(V$1,[4]Weighting!$A$2:$A$10,0),MATCH(V29,[4]Weighting!$B$1:$C$1,0)),INDEX([4]Weighting!$B$2:$C$40,MATCH(W$1,[4]Weighting!$A$2:$A$10,0),MATCH(W29,[4]Weighting!$B$1:$C$1,0)),INDEX([4]Weighting!$B$2:$C$40,MATCH(X$1,[4]Weighting!$A$2:$A$10,0),MATCH(X29,[4]Weighting!$B$1:$C$1,0)),INDEX([4]Weighting!$B$2:$C$40,MATCH(Y$1,[4]Weighting!$A$2:$A$10,0),MATCH(Y29,[4]Weighting!$B$1:$C$1,0)),INDEX([4]Weighting!$B$2:$C$40,MATCH(Z$1,[4]Weighting!$A$2:$A$10,0),MATCH(Z29,[4]Weighting!$B$1:$C$1,0)),INDEX([4]Weighting!$B$2:$C$40,MATCH(AA$1,[4]Weighting!$A$2:$A$10,0),MATCH(AA29,[4]Weighting!$B$1:$C$1,0)),INDEX([4]Weighting!$B$2:$C$40,MATCH(AB$1,[4]Weighting!$A$2:$A$10,0),MATCH(AB29,[4]Weighting!$B$1:$C$1,0)),INDEX([4]Weighting!$B$2:$C$40,MATCH(AC$1,[4]Weighting!$A$2:$A$10,0),MATCH(AC29,[4]Weighting!$B$1:$C$1,0)),INDEX([4]Weighting!$B$2:$C$40,MATCH(AD$1,[4]Weighting!$A$2:$A$10,0),MATCH(AD29,[4]Weighting!$B$1:$C$1,0)),VLOOKUP(J29,'[4]List table'!$C$2:$D$5,2,0))</f>
        <v>11</v>
      </c>
      <c r="V29" s="22" t="s">
        <v>199</v>
      </c>
      <c r="W29" s="22" t="s">
        <v>226</v>
      </c>
      <c r="X29" s="22" t="s">
        <v>226</v>
      </c>
      <c r="Y29" s="22" t="s">
        <v>199</v>
      </c>
      <c r="Z29" s="22" t="s">
        <v>226</v>
      </c>
      <c r="AA29" s="22" t="s">
        <v>226</v>
      </c>
      <c r="AB29" s="22" t="s">
        <v>226</v>
      </c>
      <c r="AC29" s="22" t="s">
        <v>226</v>
      </c>
      <c r="AD29" s="22" t="s">
        <v>199</v>
      </c>
      <c r="AE29" s="22" t="s">
        <v>226</v>
      </c>
      <c r="AF29" s="22"/>
    </row>
    <row r="30" spans="1:33" ht="86.65" hidden="1" customHeight="1" x14ac:dyDescent="0.25">
      <c r="A30" s="31" t="s">
        <v>80</v>
      </c>
      <c r="B30" s="20" t="s">
        <v>81</v>
      </c>
      <c r="C30" s="20" t="s">
        <v>258</v>
      </c>
      <c r="D30" s="20" t="s">
        <v>259</v>
      </c>
      <c r="E30" s="82" t="str">
        <f t="shared" si="0"/>
        <v>Beverley Smyk</v>
      </c>
      <c r="F30" s="82" t="s">
        <v>54</v>
      </c>
      <c r="G30" s="20" t="s">
        <v>55</v>
      </c>
      <c r="H30" s="20"/>
      <c r="I30" s="17"/>
      <c r="J30" s="20" t="s">
        <v>224</v>
      </c>
      <c r="K30" s="20" t="s">
        <v>226</v>
      </c>
      <c r="L30" s="20" t="s">
        <v>97</v>
      </c>
      <c r="M30" s="15"/>
      <c r="N30" s="15"/>
      <c r="O30" s="15"/>
      <c r="P30" s="15" t="s">
        <v>199</v>
      </c>
      <c r="Q30" s="15" t="s">
        <v>199</v>
      </c>
      <c r="R30" s="15"/>
      <c r="S30" s="15"/>
      <c r="T30" s="15"/>
      <c r="U30" s="21">
        <f>SUM(INDEX([4]Weighting!$B$2:$C$40,MATCH(V$1,[4]Weighting!$A$2:$A$10,0),MATCH(V30,[4]Weighting!$B$1:$C$1,0)),INDEX([4]Weighting!$B$2:$C$40,MATCH(W$1,[4]Weighting!$A$2:$A$10,0),MATCH(W30,[4]Weighting!$B$1:$C$1,0)),INDEX([4]Weighting!$B$2:$C$40,MATCH(X$1,[4]Weighting!$A$2:$A$10,0),MATCH(X30,[4]Weighting!$B$1:$C$1,0)),INDEX([4]Weighting!$B$2:$C$40,MATCH(Y$1,[4]Weighting!$A$2:$A$10,0),MATCH(Y30,[4]Weighting!$B$1:$C$1,0)),INDEX([4]Weighting!$B$2:$C$40,MATCH(Z$1,[4]Weighting!$A$2:$A$10,0),MATCH(Z30,[4]Weighting!$B$1:$C$1,0)),INDEX([4]Weighting!$B$2:$C$40,MATCH(AA$1,[4]Weighting!$A$2:$A$10,0),MATCH(AA30,[4]Weighting!$B$1:$C$1,0)),INDEX([4]Weighting!$B$2:$C$40,MATCH(AB$1,[4]Weighting!$A$2:$A$10,0),MATCH(AB30,[4]Weighting!$B$1:$C$1,0)),INDEX([4]Weighting!$B$2:$C$40,MATCH(AC$1,[4]Weighting!$A$2:$A$10,0),MATCH(AC30,[4]Weighting!$B$1:$C$1,0)),INDEX([4]Weighting!$B$2:$C$40,MATCH(AD$1,[4]Weighting!$A$2:$A$10,0),MATCH(AD30,[4]Weighting!$B$1:$C$1,0)),VLOOKUP(J30,'[4]List table'!$C$2:$D$5,2,0))</f>
        <v>8</v>
      </c>
      <c r="V30" s="22" t="s">
        <v>199</v>
      </c>
      <c r="W30" s="22" t="s">
        <v>226</v>
      </c>
      <c r="X30" s="22" t="s">
        <v>226</v>
      </c>
      <c r="Y30" s="22" t="s">
        <v>226</v>
      </c>
      <c r="Z30" s="22" t="s">
        <v>226</v>
      </c>
      <c r="AA30" s="22" t="s">
        <v>226</v>
      </c>
      <c r="AB30" s="22" t="s">
        <v>226</v>
      </c>
      <c r="AC30" s="22" t="s">
        <v>226</v>
      </c>
      <c r="AD30" s="22" t="s">
        <v>199</v>
      </c>
      <c r="AE30" s="22" t="s">
        <v>226</v>
      </c>
      <c r="AF30" s="22"/>
    </row>
    <row r="31" spans="1:33" ht="45" hidden="1" x14ac:dyDescent="0.25">
      <c r="A31" s="31" t="s">
        <v>82</v>
      </c>
      <c r="B31" s="20" t="s">
        <v>83</v>
      </c>
      <c r="C31" s="20" t="s">
        <v>260</v>
      </c>
      <c r="D31" s="20" t="s">
        <v>71</v>
      </c>
      <c r="E31" s="82" t="str">
        <f t="shared" si="0"/>
        <v>Dede Jawde</v>
      </c>
      <c r="F31" s="82" t="s">
        <v>54</v>
      </c>
      <c r="G31" s="20" t="s">
        <v>55</v>
      </c>
      <c r="H31" s="20"/>
      <c r="I31" s="17"/>
      <c r="J31" s="20" t="s">
        <v>224</v>
      </c>
      <c r="K31" s="20" t="s">
        <v>226</v>
      </c>
      <c r="L31" s="20" t="s">
        <v>97</v>
      </c>
      <c r="M31" s="15"/>
      <c r="N31" s="15"/>
      <c r="O31" s="15"/>
      <c r="P31" s="15" t="s">
        <v>199</v>
      </c>
      <c r="Q31" s="15" t="s">
        <v>199</v>
      </c>
      <c r="R31" s="15"/>
      <c r="S31" s="15"/>
      <c r="T31" s="15"/>
      <c r="U31" s="21">
        <f>SUM(INDEX([4]Weighting!$B$2:$C$40,MATCH(V$1,[4]Weighting!$A$2:$A$10,0),MATCH(V31,[4]Weighting!$B$1:$C$1,0)),INDEX([4]Weighting!$B$2:$C$40,MATCH(W$1,[4]Weighting!$A$2:$A$10,0),MATCH(W31,[4]Weighting!$B$1:$C$1,0)),INDEX([4]Weighting!$B$2:$C$40,MATCH(X$1,[4]Weighting!$A$2:$A$10,0),MATCH(X31,[4]Weighting!$B$1:$C$1,0)),INDEX([4]Weighting!$B$2:$C$40,MATCH(Y$1,[4]Weighting!$A$2:$A$10,0),MATCH(Y31,[4]Weighting!$B$1:$C$1,0)),INDEX([4]Weighting!$B$2:$C$40,MATCH(Z$1,[4]Weighting!$A$2:$A$10,0),MATCH(Z31,[4]Weighting!$B$1:$C$1,0)),INDEX([4]Weighting!$B$2:$C$40,MATCH(AA$1,[4]Weighting!$A$2:$A$10,0),MATCH(AA31,[4]Weighting!$B$1:$C$1,0)),INDEX([4]Weighting!$B$2:$C$40,MATCH(AB$1,[4]Weighting!$A$2:$A$10,0),MATCH(AB31,[4]Weighting!$B$1:$C$1,0)),INDEX([4]Weighting!$B$2:$C$40,MATCH(AC$1,[4]Weighting!$A$2:$A$10,0),MATCH(AC31,[4]Weighting!$B$1:$C$1,0)),INDEX([4]Weighting!$B$2:$C$40,MATCH(AD$1,[4]Weighting!$A$2:$A$10,0),MATCH(AD31,[4]Weighting!$B$1:$C$1,0)),VLOOKUP(J31,'[4]List table'!$C$2:$D$5,2,0))</f>
        <v>6</v>
      </c>
      <c r="V31" s="22" t="s">
        <v>199</v>
      </c>
      <c r="W31" s="22" t="s">
        <v>226</v>
      </c>
      <c r="X31" s="44" t="s">
        <v>199</v>
      </c>
      <c r="Y31" s="22" t="s">
        <v>226</v>
      </c>
      <c r="Z31" s="22" t="s">
        <v>199</v>
      </c>
      <c r="AA31" s="22" t="s">
        <v>226</v>
      </c>
      <c r="AB31" s="22" t="s">
        <v>226</v>
      </c>
      <c r="AC31" s="22" t="s">
        <v>226</v>
      </c>
      <c r="AD31" s="22" t="s">
        <v>199</v>
      </c>
      <c r="AE31" s="22" t="s">
        <v>226</v>
      </c>
      <c r="AF31" s="22"/>
    </row>
    <row r="32" spans="1:33" ht="30" hidden="1" x14ac:dyDescent="0.25">
      <c r="A32" s="31" t="s">
        <v>84</v>
      </c>
      <c r="B32" s="20" t="s">
        <v>85</v>
      </c>
      <c r="C32" s="20" t="s">
        <v>261</v>
      </c>
      <c r="D32" s="20" t="s">
        <v>74</v>
      </c>
      <c r="E32" s="82" t="str">
        <f t="shared" si="0"/>
        <v>Jarrod Hakker</v>
      </c>
      <c r="F32" s="82" t="s">
        <v>54</v>
      </c>
      <c r="G32" s="20" t="s">
        <v>55</v>
      </c>
      <c r="H32" s="20"/>
      <c r="I32" s="17"/>
      <c r="J32" s="20" t="s">
        <v>224</v>
      </c>
      <c r="K32" s="20" t="s">
        <v>226</v>
      </c>
      <c r="L32" s="20" t="s">
        <v>97</v>
      </c>
      <c r="M32" s="15"/>
      <c r="N32" s="15"/>
      <c r="O32" s="15"/>
      <c r="P32" s="15" t="s">
        <v>199</v>
      </c>
      <c r="Q32" s="15" t="s">
        <v>199</v>
      </c>
      <c r="R32" s="15"/>
      <c r="S32" s="15"/>
      <c r="T32" s="15"/>
      <c r="U32" s="21">
        <f>SUM(INDEX([4]Weighting!$B$2:$C$40,MATCH(V$1,[4]Weighting!$A$2:$A$10,0),MATCH(V32,[4]Weighting!$B$1:$C$1,0)),INDEX([4]Weighting!$B$2:$C$40,MATCH(W$1,[4]Weighting!$A$2:$A$10,0),MATCH(W32,[4]Weighting!$B$1:$C$1,0)),INDEX([4]Weighting!$B$2:$C$40,MATCH(X$1,[4]Weighting!$A$2:$A$10,0),MATCH(X32,[4]Weighting!$B$1:$C$1,0)),INDEX([4]Weighting!$B$2:$C$40,MATCH(Y$1,[4]Weighting!$A$2:$A$10,0),MATCH(Y32,[4]Weighting!$B$1:$C$1,0)),INDEX([4]Weighting!$B$2:$C$40,MATCH(Z$1,[4]Weighting!$A$2:$A$10,0),MATCH(Z32,[4]Weighting!$B$1:$C$1,0)),INDEX([4]Weighting!$B$2:$C$40,MATCH(AA$1,[4]Weighting!$A$2:$A$10,0),MATCH(AA32,[4]Weighting!$B$1:$C$1,0)),INDEX([4]Weighting!$B$2:$C$40,MATCH(AB$1,[4]Weighting!$A$2:$A$10,0),MATCH(AB32,[4]Weighting!$B$1:$C$1,0)),INDEX([4]Weighting!$B$2:$C$40,MATCH(AC$1,[4]Weighting!$A$2:$A$10,0),MATCH(AC32,[4]Weighting!$B$1:$C$1,0)),INDEX([4]Weighting!$B$2:$C$40,MATCH(AD$1,[4]Weighting!$A$2:$A$10,0),MATCH(AD32,[4]Weighting!$B$1:$C$1,0)),VLOOKUP(J32,'[4]List table'!$C$2:$D$5,2,0))</f>
        <v>12</v>
      </c>
      <c r="V32" s="22" t="s">
        <v>199</v>
      </c>
      <c r="W32" s="22" t="s">
        <v>226</v>
      </c>
      <c r="X32" s="22" t="s">
        <v>226</v>
      </c>
      <c r="Y32" s="22" t="s">
        <v>199</v>
      </c>
      <c r="Z32" s="22" t="s">
        <v>226</v>
      </c>
      <c r="AA32" s="22" t="s">
        <v>226</v>
      </c>
      <c r="AB32" s="22" t="s">
        <v>226</v>
      </c>
      <c r="AC32" s="22" t="s">
        <v>199</v>
      </c>
      <c r="AD32" s="22" t="s">
        <v>226</v>
      </c>
      <c r="AE32" s="22" t="s">
        <v>226</v>
      </c>
      <c r="AF32" s="22"/>
    </row>
    <row r="33" spans="1:33" ht="45" hidden="1" x14ac:dyDescent="0.25">
      <c r="A33" s="31" t="s">
        <v>86</v>
      </c>
      <c r="B33" s="20" t="s">
        <v>87</v>
      </c>
      <c r="C33" s="20" t="s">
        <v>262</v>
      </c>
      <c r="D33" s="20" t="s">
        <v>88</v>
      </c>
      <c r="E33" s="82" t="str">
        <f t="shared" si="0"/>
        <v>Emer Keating</v>
      </c>
      <c r="F33" s="82" t="s">
        <v>54</v>
      </c>
      <c r="G33" s="20" t="s">
        <v>55</v>
      </c>
      <c r="H33" s="20"/>
      <c r="I33" s="17"/>
      <c r="J33" s="20" t="s">
        <v>224</v>
      </c>
      <c r="K33" s="20" t="s">
        <v>226</v>
      </c>
      <c r="L33" s="20" t="s">
        <v>97</v>
      </c>
      <c r="M33" s="15"/>
      <c r="N33" s="15"/>
      <c r="O33" s="15"/>
      <c r="P33" s="15" t="s">
        <v>199</v>
      </c>
      <c r="Q33" s="15" t="s">
        <v>199</v>
      </c>
      <c r="R33" s="15"/>
      <c r="S33" s="15"/>
      <c r="T33" s="15"/>
      <c r="U33" s="21">
        <f>SUM(INDEX([4]Weighting!$B$2:$C$40,MATCH(V$1,[4]Weighting!$A$2:$A$10,0),MATCH(V33,[4]Weighting!$B$1:$C$1,0)),INDEX([4]Weighting!$B$2:$C$40,MATCH(W$1,[4]Weighting!$A$2:$A$10,0),MATCH(W33,[4]Weighting!$B$1:$C$1,0)),INDEX([4]Weighting!$B$2:$C$40,MATCH(X$1,[4]Weighting!$A$2:$A$10,0),MATCH(X33,[4]Weighting!$B$1:$C$1,0)),INDEX([4]Weighting!$B$2:$C$40,MATCH(Y$1,[4]Weighting!$A$2:$A$10,0),MATCH(Y33,[4]Weighting!$B$1:$C$1,0)),INDEX([4]Weighting!$B$2:$C$40,MATCH(Z$1,[4]Weighting!$A$2:$A$10,0),MATCH(Z33,[4]Weighting!$B$1:$C$1,0)),INDEX([4]Weighting!$B$2:$C$40,MATCH(AA$1,[4]Weighting!$A$2:$A$10,0),MATCH(AA33,[4]Weighting!$B$1:$C$1,0)),INDEX([4]Weighting!$B$2:$C$40,MATCH(AB$1,[4]Weighting!$A$2:$A$10,0),MATCH(AB33,[4]Weighting!$B$1:$C$1,0)),INDEX([4]Weighting!$B$2:$C$40,MATCH(AC$1,[4]Weighting!$A$2:$A$10,0),MATCH(AC33,[4]Weighting!$B$1:$C$1,0)),INDEX([4]Weighting!$B$2:$C$40,MATCH(AD$1,[4]Weighting!$A$2:$A$10,0),MATCH(AD33,[4]Weighting!$B$1:$C$1,0)),VLOOKUP(J33,'[4]List table'!$C$2:$D$5,2,0))</f>
        <v>9</v>
      </c>
      <c r="V33" s="22" t="s">
        <v>199</v>
      </c>
      <c r="W33" s="22" t="s">
        <v>226</v>
      </c>
      <c r="X33" s="22" t="s">
        <v>226</v>
      </c>
      <c r="Y33" s="22" t="s">
        <v>199</v>
      </c>
      <c r="Z33" s="22" t="s">
        <v>199</v>
      </c>
      <c r="AA33" s="22" t="s">
        <v>226</v>
      </c>
      <c r="AB33" s="22" t="s">
        <v>226</v>
      </c>
      <c r="AC33" s="22" t="s">
        <v>226</v>
      </c>
      <c r="AD33" s="22" t="s">
        <v>226</v>
      </c>
      <c r="AE33" s="22" t="s">
        <v>226</v>
      </c>
      <c r="AF33" s="22"/>
    </row>
    <row r="34" spans="1:33" ht="45" hidden="1" x14ac:dyDescent="0.25">
      <c r="A34" s="31" t="s">
        <v>89</v>
      </c>
      <c r="B34" s="20" t="s">
        <v>90</v>
      </c>
      <c r="C34" s="20" t="s">
        <v>263</v>
      </c>
      <c r="D34" s="20" t="s">
        <v>91</v>
      </c>
      <c r="E34" s="82" t="str">
        <f t="shared" si="0"/>
        <v>Natarajan Hariharan</v>
      </c>
      <c r="F34" s="82" t="s">
        <v>54</v>
      </c>
      <c r="G34" s="20" t="s">
        <v>55</v>
      </c>
      <c r="H34" s="20"/>
      <c r="I34" s="17"/>
      <c r="J34" s="20" t="s">
        <v>224</v>
      </c>
      <c r="K34" s="20" t="s">
        <v>226</v>
      </c>
      <c r="L34" s="20" t="s">
        <v>97</v>
      </c>
      <c r="M34" s="15"/>
      <c r="N34" s="15"/>
      <c r="O34" s="15"/>
      <c r="P34" s="15" t="s">
        <v>199</v>
      </c>
      <c r="Q34" s="15" t="s">
        <v>199</v>
      </c>
      <c r="R34" s="15"/>
      <c r="S34" s="15"/>
      <c r="T34" s="15"/>
      <c r="U34" s="21">
        <f>SUM(INDEX([4]Weighting!$B$2:$C$40,MATCH(V$1,[4]Weighting!$A$2:$A$10,0),MATCH(V34,[4]Weighting!$B$1:$C$1,0)),INDEX([4]Weighting!$B$2:$C$40,MATCH(W$1,[4]Weighting!$A$2:$A$10,0),MATCH(W34,[4]Weighting!$B$1:$C$1,0)),INDEX([4]Weighting!$B$2:$C$40,MATCH(X$1,[4]Weighting!$A$2:$A$10,0),MATCH(X34,[4]Weighting!$B$1:$C$1,0)),INDEX([4]Weighting!$B$2:$C$40,MATCH(Y$1,[4]Weighting!$A$2:$A$10,0),MATCH(Y34,[4]Weighting!$B$1:$C$1,0)),INDEX([4]Weighting!$B$2:$C$40,MATCH(Z$1,[4]Weighting!$A$2:$A$10,0),MATCH(Z34,[4]Weighting!$B$1:$C$1,0)),INDEX([4]Weighting!$B$2:$C$40,MATCH(AA$1,[4]Weighting!$A$2:$A$10,0),MATCH(AA34,[4]Weighting!$B$1:$C$1,0)),INDEX([4]Weighting!$B$2:$C$40,MATCH(AB$1,[4]Weighting!$A$2:$A$10,0),MATCH(AB34,[4]Weighting!$B$1:$C$1,0)),INDEX([4]Weighting!$B$2:$C$40,MATCH(AC$1,[4]Weighting!$A$2:$A$10,0),MATCH(AC34,[4]Weighting!$B$1:$C$1,0)),INDEX([4]Weighting!$B$2:$C$40,MATCH(AD$1,[4]Weighting!$A$2:$A$10,0),MATCH(AD34,[4]Weighting!$B$1:$C$1,0)),VLOOKUP(J34,'[4]List table'!$C$2:$D$5,2,0))</f>
        <v>11</v>
      </c>
      <c r="V34" s="22" t="s">
        <v>199</v>
      </c>
      <c r="W34" s="22" t="s">
        <v>226</v>
      </c>
      <c r="X34" s="22" t="s">
        <v>226</v>
      </c>
      <c r="Y34" s="22" t="s">
        <v>199</v>
      </c>
      <c r="Z34" s="22" t="s">
        <v>226</v>
      </c>
      <c r="AA34" s="22" t="s">
        <v>226</v>
      </c>
      <c r="AB34" s="22" t="s">
        <v>226</v>
      </c>
      <c r="AC34" s="22" t="s">
        <v>226</v>
      </c>
      <c r="AD34" s="22" t="s">
        <v>199</v>
      </c>
      <c r="AE34" s="22" t="s">
        <v>226</v>
      </c>
      <c r="AF34" s="22"/>
    </row>
    <row r="35" spans="1:33" ht="45" x14ac:dyDescent="0.25">
      <c r="A35" s="31" t="s">
        <v>92</v>
      </c>
      <c r="B35" s="20" t="s">
        <v>93</v>
      </c>
      <c r="C35" s="20" t="s">
        <v>264</v>
      </c>
      <c r="D35" s="20" t="s">
        <v>265</v>
      </c>
      <c r="E35" s="82" t="str">
        <f t="shared" ref="E35:E66" si="1">IF(D35="","",TRIM(IFERROR(_xlfn.TEXTBEFORE(D35,","),D35)))</f>
        <v>Sally Kwon</v>
      </c>
      <c r="F35" s="82" t="s">
        <v>94</v>
      </c>
      <c r="G35" s="20" t="s">
        <v>95</v>
      </c>
      <c r="H35" s="20" t="s">
        <v>386</v>
      </c>
      <c r="I35" s="18" t="s">
        <v>266</v>
      </c>
      <c r="J35" s="20" t="s">
        <v>224</v>
      </c>
      <c r="K35" s="20" t="s">
        <v>226</v>
      </c>
      <c r="L35" s="20" t="s">
        <v>378</v>
      </c>
      <c r="M35" s="15"/>
      <c r="N35" s="15"/>
      <c r="O35" s="15"/>
      <c r="P35" s="15" t="s">
        <v>199</v>
      </c>
      <c r="Q35" s="15" t="s">
        <v>199</v>
      </c>
      <c r="R35" s="15"/>
      <c r="S35" s="15"/>
      <c r="T35" s="15"/>
      <c r="U35" s="21">
        <f>SUM(INDEX([4]Weighting!$B$2:$C$40,MATCH(V$1,[4]Weighting!$A$2:$A$10,0),MATCH(V35,[4]Weighting!$B$1:$C$1,0)),INDEX([4]Weighting!$B$2:$C$40,MATCH(W$1,[4]Weighting!$A$2:$A$10,0),MATCH(W35,[4]Weighting!$B$1:$C$1,0)),INDEX([4]Weighting!$B$2:$C$40,MATCH(X$1,[4]Weighting!$A$2:$A$10,0),MATCH(X35,[4]Weighting!$B$1:$C$1,0)),INDEX([4]Weighting!$B$2:$C$40,MATCH(Y$1,[4]Weighting!$A$2:$A$10,0),MATCH(Y35,[4]Weighting!$B$1:$C$1,0)),INDEX([4]Weighting!$B$2:$C$40,MATCH(Z$1,[4]Weighting!$A$2:$A$10,0),MATCH(Z35,[4]Weighting!$B$1:$C$1,0)),INDEX([4]Weighting!$B$2:$C$40,MATCH(AA$1,[4]Weighting!$A$2:$A$10,0),MATCH(AA35,[4]Weighting!$B$1:$C$1,0)),INDEX([4]Weighting!$B$2:$C$40,MATCH(AB$1,[4]Weighting!$A$2:$A$10,0),MATCH(AB35,[4]Weighting!$B$1:$C$1,0)),INDEX([4]Weighting!$B$2:$C$40,MATCH(AC$1,[4]Weighting!$A$2:$A$10,0),MATCH(AC35,[4]Weighting!$B$1:$C$1,0)),INDEX([4]Weighting!$B$2:$C$40,MATCH(AD$1,[4]Weighting!$A$2:$A$10,0),MATCH(AD35,[4]Weighting!$B$1:$C$1,0)),VLOOKUP(J35,'[4]List table'!$C$2:$D$5,2,0))</f>
        <v>13</v>
      </c>
      <c r="V35" s="22" t="s">
        <v>199</v>
      </c>
      <c r="W35" s="22" t="s">
        <v>199</v>
      </c>
      <c r="X35" s="22" t="s">
        <v>226</v>
      </c>
      <c r="Y35" s="22" t="s">
        <v>199</v>
      </c>
      <c r="Z35" s="22" t="s">
        <v>226</v>
      </c>
      <c r="AA35" s="22" t="s">
        <v>199</v>
      </c>
      <c r="AB35" s="22" t="s">
        <v>199</v>
      </c>
      <c r="AC35" s="22" t="s">
        <v>226</v>
      </c>
      <c r="AD35" s="22" t="s">
        <v>226</v>
      </c>
      <c r="AE35" s="22" t="s">
        <v>226</v>
      </c>
      <c r="AF35" s="22"/>
    </row>
    <row r="36" spans="1:33" ht="45" x14ac:dyDescent="0.25">
      <c r="A36" s="31" t="s">
        <v>96</v>
      </c>
      <c r="B36" s="20" t="s">
        <v>97</v>
      </c>
      <c r="C36" s="20" t="s">
        <v>267</v>
      </c>
      <c r="D36" s="30" t="s">
        <v>268</v>
      </c>
      <c r="E36" s="80" t="str">
        <f t="shared" si="1"/>
        <v>Sally Kwon</v>
      </c>
      <c r="F36" s="80" t="s">
        <v>94</v>
      </c>
      <c r="G36" s="20" t="s">
        <v>95</v>
      </c>
      <c r="H36" s="43" t="s">
        <v>387</v>
      </c>
      <c r="I36" s="18" t="s">
        <v>269</v>
      </c>
      <c r="J36" s="20" t="s">
        <v>224</v>
      </c>
      <c r="K36" s="20" t="s">
        <v>226</v>
      </c>
      <c r="L36" s="20" t="s">
        <v>97</v>
      </c>
      <c r="M36" s="15"/>
      <c r="N36" s="15"/>
      <c r="O36" s="15"/>
      <c r="P36" s="15" t="s">
        <v>199</v>
      </c>
      <c r="Q36" s="15" t="s">
        <v>199</v>
      </c>
      <c r="R36" s="15"/>
      <c r="S36" s="15"/>
      <c r="T36" s="15"/>
      <c r="U36" s="21">
        <f>SUM(INDEX([4]Weighting!$B$2:$C$40,MATCH(V$1,[4]Weighting!$A$2:$A$10,0),MATCH(V36,[4]Weighting!$B$1:$C$1,0)),INDEX([4]Weighting!$B$2:$C$40,MATCH(W$1,[4]Weighting!$A$2:$A$10,0),MATCH(W36,[4]Weighting!$B$1:$C$1,0)),INDEX([4]Weighting!$B$2:$C$40,MATCH(X$1,[4]Weighting!$A$2:$A$10,0),MATCH(X36,[4]Weighting!$B$1:$C$1,0)),INDEX([4]Weighting!$B$2:$C$40,MATCH(Y$1,[4]Weighting!$A$2:$A$10,0),MATCH(Y36,[4]Weighting!$B$1:$C$1,0)),INDEX([4]Weighting!$B$2:$C$40,MATCH(Z$1,[4]Weighting!$A$2:$A$10,0),MATCH(Z36,[4]Weighting!$B$1:$C$1,0)),INDEX([4]Weighting!$B$2:$C$40,MATCH(AA$1,[4]Weighting!$A$2:$A$10,0),MATCH(AA36,[4]Weighting!$B$1:$C$1,0)),INDEX([4]Weighting!$B$2:$C$40,MATCH(AB$1,[4]Weighting!$A$2:$A$10,0),MATCH(AB36,[4]Weighting!$B$1:$C$1,0)),INDEX([4]Weighting!$B$2:$C$40,MATCH(AC$1,[4]Weighting!$A$2:$A$10,0),MATCH(AC36,[4]Weighting!$B$1:$C$1,0)),INDEX([4]Weighting!$B$2:$C$40,MATCH(AD$1,[4]Weighting!$A$2:$A$10,0),MATCH(AD36,[4]Weighting!$B$1:$C$1,0)),VLOOKUP(J36,'[4]List table'!$C$2:$D$5,2,0))</f>
        <v>8</v>
      </c>
      <c r="V36" s="25" t="s">
        <v>199</v>
      </c>
      <c r="W36" s="22" t="s">
        <v>226</v>
      </c>
      <c r="X36" s="22" t="s">
        <v>226</v>
      </c>
      <c r="Y36" s="22" t="s">
        <v>226</v>
      </c>
      <c r="Z36" s="22" t="s">
        <v>226</v>
      </c>
      <c r="AA36" s="22" t="s">
        <v>226</v>
      </c>
      <c r="AB36" s="22" t="s">
        <v>226</v>
      </c>
      <c r="AC36" s="22" t="s">
        <v>226</v>
      </c>
      <c r="AD36" s="22" t="s">
        <v>199</v>
      </c>
      <c r="AE36" s="22" t="s">
        <v>226</v>
      </c>
      <c r="AF36" s="22"/>
      <c r="AG36" s="24" t="s">
        <v>270</v>
      </c>
    </row>
    <row r="37" spans="1:33" ht="45" x14ac:dyDescent="0.25">
      <c r="A37" s="31" t="s">
        <v>98</v>
      </c>
      <c r="B37" s="20" t="s">
        <v>99</v>
      </c>
      <c r="C37" s="45" t="s">
        <v>431</v>
      </c>
      <c r="D37" s="30" t="s">
        <v>272</v>
      </c>
      <c r="E37" s="80" t="str">
        <f t="shared" si="1"/>
        <v>Yvonne Chang</v>
      </c>
      <c r="F37" s="80" t="s">
        <v>94</v>
      </c>
      <c r="G37" s="20" t="s">
        <v>95</v>
      </c>
      <c r="H37" s="43" t="s">
        <v>388</v>
      </c>
      <c r="I37" s="17"/>
      <c r="J37" s="20" t="s">
        <v>224</v>
      </c>
      <c r="K37" s="20" t="s">
        <v>226</v>
      </c>
      <c r="L37" s="20" t="s">
        <v>379</v>
      </c>
      <c r="M37" s="15"/>
      <c r="N37" s="15"/>
      <c r="O37" s="15"/>
      <c r="P37" s="15" t="s">
        <v>199</v>
      </c>
      <c r="Q37" s="15" t="s">
        <v>199</v>
      </c>
      <c r="R37" s="15"/>
      <c r="S37" s="15"/>
      <c r="T37" s="15"/>
      <c r="U37" s="21">
        <f>SUM(INDEX([4]Weighting!$B$2:$C$40,MATCH(V$1,[4]Weighting!$A$2:$A$10,0),MATCH(V37,[4]Weighting!$B$1:$C$1,0)),INDEX([4]Weighting!$B$2:$C$40,MATCH(W$1,[4]Weighting!$A$2:$A$10,0),MATCH(W37,[4]Weighting!$B$1:$C$1,0)),INDEX([4]Weighting!$B$2:$C$40,MATCH(X$1,[4]Weighting!$A$2:$A$10,0),MATCH(X37,[4]Weighting!$B$1:$C$1,0)),INDEX([4]Weighting!$B$2:$C$40,MATCH(Y$1,[4]Weighting!$A$2:$A$10,0),MATCH(Y37,[4]Weighting!$B$1:$C$1,0)),INDEX([4]Weighting!$B$2:$C$40,MATCH(Z$1,[4]Weighting!$A$2:$A$10,0),MATCH(Z37,[4]Weighting!$B$1:$C$1,0)),INDEX([4]Weighting!$B$2:$C$40,MATCH(AA$1,[4]Weighting!$A$2:$A$10,0),MATCH(AA37,[4]Weighting!$B$1:$C$1,0)),INDEX([4]Weighting!$B$2:$C$40,MATCH(AB$1,[4]Weighting!$A$2:$A$10,0),MATCH(AB37,[4]Weighting!$B$1:$C$1,0)),INDEX([4]Weighting!$B$2:$C$40,MATCH(AC$1,[4]Weighting!$A$2:$A$10,0),MATCH(AC37,[4]Weighting!$B$1:$C$1,0)),INDEX([4]Weighting!$B$2:$C$40,MATCH(AD$1,[4]Weighting!$A$2:$A$10,0),MATCH(AD37,[4]Weighting!$B$1:$C$1,0)),VLOOKUP(J37,'[4]List table'!$C$2:$D$5,2,0))</f>
        <v>13</v>
      </c>
      <c r="V37" s="22" t="s">
        <v>199</v>
      </c>
      <c r="W37" s="22" t="s">
        <v>226</v>
      </c>
      <c r="X37" s="22" t="s">
        <v>226</v>
      </c>
      <c r="Y37" s="22" t="s">
        <v>199</v>
      </c>
      <c r="Z37" s="22" t="s">
        <v>226</v>
      </c>
      <c r="AA37" s="22" t="s">
        <v>226</v>
      </c>
      <c r="AB37" s="22" t="s">
        <v>226</v>
      </c>
      <c r="AC37" s="22" t="s">
        <v>199</v>
      </c>
      <c r="AD37" s="22" t="s">
        <v>199</v>
      </c>
      <c r="AE37" s="22" t="s">
        <v>226</v>
      </c>
      <c r="AF37" s="22"/>
      <c r="AG37" s="24" t="s">
        <v>273</v>
      </c>
    </row>
    <row r="38" spans="1:33" ht="259.89999999999998" customHeight="1" x14ac:dyDescent="0.25">
      <c r="A38" s="31" t="s">
        <v>100</v>
      </c>
      <c r="B38" s="20" t="s">
        <v>66</v>
      </c>
      <c r="C38" s="20" t="s">
        <v>274</v>
      </c>
      <c r="D38" s="46" t="s">
        <v>275</v>
      </c>
      <c r="E38" s="80" t="str">
        <f t="shared" si="1"/>
        <v>Yvonne Chang</v>
      </c>
      <c r="F38" s="80" t="s">
        <v>94</v>
      </c>
      <c r="G38" s="20" t="s">
        <v>95</v>
      </c>
      <c r="H38" s="20"/>
      <c r="I38" s="18" t="s">
        <v>276</v>
      </c>
      <c r="J38" s="20" t="s">
        <v>224</v>
      </c>
      <c r="K38" s="20" t="s">
        <v>226</v>
      </c>
      <c r="L38" s="20" t="s">
        <v>378</v>
      </c>
      <c r="M38" s="15"/>
      <c r="N38" s="15"/>
      <c r="O38" s="15"/>
      <c r="P38" s="15" t="s">
        <v>199</v>
      </c>
      <c r="Q38" s="15" t="s">
        <v>199</v>
      </c>
      <c r="R38" s="15"/>
      <c r="S38" s="15"/>
      <c r="T38" s="15"/>
      <c r="U38" s="21">
        <f>SUM(INDEX([4]Weighting!$B$2:$C$40,MATCH(V$1,[4]Weighting!$A$2:$A$10,0),MATCH(V38,[4]Weighting!$B$1:$C$1,0)),INDEX([4]Weighting!$B$2:$C$40,MATCH(W$1,[4]Weighting!$A$2:$A$10,0),MATCH(W38,[4]Weighting!$B$1:$C$1,0)),INDEX([4]Weighting!$B$2:$C$40,MATCH(X$1,[4]Weighting!$A$2:$A$10,0),MATCH(X38,[4]Weighting!$B$1:$C$1,0)),INDEX([4]Weighting!$B$2:$C$40,MATCH(Y$1,[4]Weighting!$A$2:$A$10,0),MATCH(Y38,[4]Weighting!$B$1:$C$1,0)),INDEX([4]Weighting!$B$2:$C$40,MATCH(Z$1,[4]Weighting!$A$2:$A$10,0),MATCH(Z38,[4]Weighting!$B$1:$C$1,0)),INDEX([4]Weighting!$B$2:$C$40,MATCH(AA$1,[4]Weighting!$A$2:$A$10,0),MATCH(AA38,[4]Weighting!$B$1:$C$1,0)),INDEX([4]Weighting!$B$2:$C$40,MATCH(AB$1,[4]Weighting!$A$2:$A$10,0),MATCH(AB38,[4]Weighting!$B$1:$C$1,0)),INDEX([4]Weighting!$B$2:$C$40,MATCH(AC$1,[4]Weighting!$A$2:$A$10,0),MATCH(AC38,[4]Weighting!$B$1:$C$1,0)),INDEX([4]Weighting!$B$2:$C$40,MATCH(AD$1,[4]Weighting!$A$2:$A$10,0),MATCH(AD38,[4]Weighting!$B$1:$C$1,0)),VLOOKUP(J38,'[4]List table'!$C$2:$D$5,2,0))</f>
        <v>7</v>
      </c>
      <c r="V38" s="22" t="s">
        <v>199</v>
      </c>
      <c r="W38" s="22" t="s">
        <v>226</v>
      </c>
      <c r="X38" s="22" t="s">
        <v>226</v>
      </c>
      <c r="Y38" s="22" t="s">
        <v>226</v>
      </c>
      <c r="Z38" s="22" t="s">
        <v>226</v>
      </c>
      <c r="AA38" s="22" t="s">
        <v>226</v>
      </c>
      <c r="AB38" s="22" t="s">
        <v>226</v>
      </c>
      <c r="AC38" s="22" t="s">
        <v>226</v>
      </c>
      <c r="AD38" s="22" t="s">
        <v>226</v>
      </c>
      <c r="AE38" s="22" t="s">
        <v>226</v>
      </c>
      <c r="AF38" s="22"/>
      <c r="AG38" s="23" t="s">
        <v>277</v>
      </c>
    </row>
    <row r="39" spans="1:33" ht="43.15" customHeight="1" x14ac:dyDescent="0.25">
      <c r="A39" s="31" t="s">
        <v>101</v>
      </c>
      <c r="B39" s="20" t="s">
        <v>102</v>
      </c>
      <c r="C39" s="20" t="s">
        <v>278</v>
      </c>
      <c r="D39" s="46" t="s">
        <v>279</v>
      </c>
      <c r="E39" s="80" t="str">
        <f t="shared" si="1"/>
        <v>Yvonne Chang</v>
      </c>
      <c r="F39" s="80" t="s">
        <v>94</v>
      </c>
      <c r="G39" s="20" t="s">
        <v>95</v>
      </c>
      <c r="H39" s="20"/>
      <c r="I39" s="18" t="s">
        <v>276</v>
      </c>
      <c r="J39" s="20" t="s">
        <v>224</v>
      </c>
      <c r="K39" s="20" t="s">
        <v>226</v>
      </c>
      <c r="L39" s="20" t="s">
        <v>378</v>
      </c>
      <c r="M39" s="15"/>
      <c r="N39" s="15"/>
      <c r="O39" s="15"/>
      <c r="P39" s="15" t="s">
        <v>199</v>
      </c>
      <c r="Q39" s="15" t="s">
        <v>199</v>
      </c>
      <c r="R39" s="15"/>
      <c r="S39" s="15"/>
      <c r="T39" s="15"/>
      <c r="U39" s="21">
        <f>SUM(INDEX([4]Weighting!$B$2:$C$40,MATCH(V$1,[4]Weighting!$A$2:$A$10,0),MATCH(V39,[4]Weighting!$B$1:$C$1,0)),INDEX([4]Weighting!$B$2:$C$40,MATCH(W$1,[4]Weighting!$A$2:$A$10,0),MATCH(W39,[4]Weighting!$B$1:$C$1,0)),INDEX([4]Weighting!$B$2:$C$40,MATCH(X$1,[4]Weighting!$A$2:$A$10,0),MATCH(X39,[4]Weighting!$B$1:$C$1,0)),INDEX([4]Weighting!$B$2:$C$40,MATCH(Y$1,[4]Weighting!$A$2:$A$10,0),MATCH(Y39,[4]Weighting!$B$1:$C$1,0)),INDEX([4]Weighting!$B$2:$C$40,MATCH(Z$1,[4]Weighting!$A$2:$A$10,0),MATCH(Z39,[4]Weighting!$B$1:$C$1,0)),INDEX([4]Weighting!$B$2:$C$40,MATCH(AA$1,[4]Weighting!$A$2:$A$10,0),MATCH(AA39,[4]Weighting!$B$1:$C$1,0)),INDEX([4]Weighting!$B$2:$C$40,MATCH(AB$1,[4]Weighting!$A$2:$A$10,0),MATCH(AB39,[4]Weighting!$B$1:$C$1,0)),INDEX([4]Weighting!$B$2:$C$40,MATCH(AC$1,[4]Weighting!$A$2:$A$10,0),MATCH(AC39,[4]Weighting!$B$1:$C$1,0)),INDEX([4]Weighting!$B$2:$C$40,MATCH(AD$1,[4]Weighting!$A$2:$A$10,0),MATCH(AD39,[4]Weighting!$B$1:$C$1,0)),VLOOKUP(J39,'[4]List table'!$C$2:$D$5,2,0))</f>
        <v>11</v>
      </c>
      <c r="V39" s="22" t="s">
        <v>199</v>
      </c>
      <c r="W39" s="22" t="s">
        <v>199</v>
      </c>
      <c r="X39" s="22" t="s">
        <v>226</v>
      </c>
      <c r="Y39" s="22" t="s">
        <v>226</v>
      </c>
      <c r="Z39" s="22" t="s">
        <v>199</v>
      </c>
      <c r="AA39" s="22" t="s">
        <v>226</v>
      </c>
      <c r="AB39" s="22" t="s">
        <v>226</v>
      </c>
      <c r="AC39" s="22" t="s">
        <v>199</v>
      </c>
      <c r="AD39" s="22" t="s">
        <v>226</v>
      </c>
      <c r="AE39" s="22" t="s">
        <v>226</v>
      </c>
      <c r="AF39" s="22"/>
    </row>
    <row r="40" spans="1:33" ht="30" x14ac:dyDescent="0.25">
      <c r="A40" s="19" t="s">
        <v>103</v>
      </c>
      <c r="B40" s="22" t="s">
        <v>104</v>
      </c>
      <c r="C40" s="22" t="s">
        <v>280</v>
      </c>
      <c r="D40" s="47" t="s">
        <v>105</v>
      </c>
      <c r="E40" s="84" t="str">
        <f t="shared" si="1"/>
        <v>Kevin Fabian</v>
      </c>
      <c r="F40" s="84" t="s">
        <v>94</v>
      </c>
      <c r="G40" s="22" t="s">
        <v>95</v>
      </c>
      <c r="H40" s="20" t="s">
        <v>381</v>
      </c>
      <c r="I40" s="22"/>
      <c r="J40" s="22" t="s">
        <v>224</v>
      </c>
      <c r="K40" s="20" t="s">
        <v>226</v>
      </c>
      <c r="L40" s="20" t="s">
        <v>382</v>
      </c>
      <c r="M40" s="19"/>
      <c r="N40" s="19"/>
      <c r="O40" s="19"/>
      <c r="P40" s="15" t="s">
        <v>199</v>
      </c>
      <c r="Q40" s="15" t="s">
        <v>199</v>
      </c>
      <c r="R40" s="19"/>
      <c r="S40" s="19"/>
      <c r="T40" s="19"/>
      <c r="U40" s="21">
        <f>SUM(INDEX([4]Weighting!$B$2:$C$40,MATCH(V$1,[4]Weighting!$A$2:$A$10,0),MATCH(V40,[4]Weighting!$B$1:$C$1,0)),INDEX([4]Weighting!$B$2:$C$40,MATCH(W$1,[4]Weighting!$A$2:$A$10,0),MATCH(W40,[4]Weighting!$B$1:$C$1,0)),INDEX([4]Weighting!$B$2:$C$40,MATCH(X$1,[4]Weighting!$A$2:$A$10,0),MATCH(X40,[4]Weighting!$B$1:$C$1,0)),INDEX([4]Weighting!$B$2:$C$40,MATCH(Y$1,[4]Weighting!$A$2:$A$10,0),MATCH(Y40,[4]Weighting!$B$1:$C$1,0)),INDEX([4]Weighting!$B$2:$C$40,MATCH(Z$1,[4]Weighting!$A$2:$A$10,0),MATCH(Z40,[4]Weighting!$B$1:$C$1,0)),INDEX([4]Weighting!$B$2:$C$40,MATCH(AA$1,[4]Weighting!$A$2:$A$10,0),MATCH(AA40,[4]Weighting!$B$1:$C$1,0)),INDEX([4]Weighting!$B$2:$C$40,MATCH(AB$1,[4]Weighting!$A$2:$A$10,0),MATCH(AB40,[4]Weighting!$B$1:$C$1,0)),INDEX([4]Weighting!$B$2:$C$40,MATCH(AC$1,[4]Weighting!$A$2:$A$10,0),MATCH(AC40,[4]Weighting!$B$1:$C$1,0)),INDEX([4]Weighting!$B$2:$C$40,MATCH(AD$1,[4]Weighting!$A$2:$A$10,0),MATCH(AD40,[4]Weighting!$B$1:$C$1,0)),VLOOKUP(J40,'[4]List table'!$C$2:$D$5,2,0))</f>
        <v>14</v>
      </c>
      <c r="V40" s="22" t="s">
        <v>199</v>
      </c>
      <c r="W40" s="25" t="s">
        <v>199</v>
      </c>
      <c r="X40" s="25" t="s">
        <v>199</v>
      </c>
      <c r="Y40" s="22" t="s">
        <v>199</v>
      </c>
      <c r="Z40" s="22" t="s">
        <v>199</v>
      </c>
      <c r="AA40" s="22" t="s">
        <v>226</v>
      </c>
      <c r="AB40" s="25" t="s">
        <v>199</v>
      </c>
      <c r="AC40" s="22" t="s">
        <v>226</v>
      </c>
      <c r="AD40" s="25" t="s">
        <v>199</v>
      </c>
      <c r="AE40" s="22" t="s">
        <v>226</v>
      </c>
      <c r="AF40" s="22"/>
    </row>
    <row r="41" spans="1:33" ht="43.15" customHeight="1" x14ac:dyDescent="0.25">
      <c r="A41" s="19" t="s">
        <v>106</v>
      </c>
      <c r="B41" s="25" t="s">
        <v>107</v>
      </c>
      <c r="C41" s="43" t="s">
        <v>281</v>
      </c>
      <c r="D41" s="18" t="s">
        <v>282</v>
      </c>
      <c r="E41" s="81" t="str">
        <f t="shared" si="1"/>
        <v>Alain Camirand</v>
      </c>
      <c r="F41" s="81" t="s">
        <v>94</v>
      </c>
      <c r="G41" s="22" t="s">
        <v>108</v>
      </c>
      <c r="H41" s="43" t="s">
        <v>107</v>
      </c>
      <c r="I41" s="22"/>
      <c r="J41" s="22"/>
      <c r="K41" s="20" t="s">
        <v>226</v>
      </c>
      <c r="L41" s="20" t="s">
        <v>108</v>
      </c>
      <c r="M41" s="19"/>
      <c r="N41" s="19"/>
      <c r="O41" s="19"/>
      <c r="P41" s="15" t="s">
        <v>199</v>
      </c>
      <c r="Q41" s="15" t="s">
        <v>199</v>
      </c>
      <c r="R41" s="19"/>
      <c r="S41" s="19"/>
      <c r="T41" s="19"/>
      <c r="U41" s="21" t="e">
        <f>SUM(INDEX([4]Weighting!$B$2:$C$40,MATCH(V$1,[4]Weighting!$A$2:$A$10,0),MATCH(V41,[4]Weighting!$B$1:$C$1,0)),INDEX([4]Weighting!$B$2:$C$40,MATCH(W$1,[4]Weighting!$A$2:$A$10,0),MATCH(W41,[4]Weighting!$B$1:$C$1,0)),INDEX([4]Weighting!$B$2:$C$40,MATCH(X$1,[4]Weighting!$A$2:$A$10,0),MATCH(X41,[4]Weighting!$B$1:$C$1,0)),INDEX([4]Weighting!$B$2:$C$40,MATCH(Y$1,[4]Weighting!$A$2:$A$10,0),MATCH(Y41,[4]Weighting!$B$1:$C$1,0)),INDEX([4]Weighting!$B$2:$C$40,MATCH(Z$1,[4]Weighting!$A$2:$A$10,0),MATCH(Z41,[4]Weighting!$B$1:$C$1,0)),INDEX([4]Weighting!$B$2:$C$40,MATCH(AA$1,[4]Weighting!$A$2:$A$10,0),MATCH(AA41,[4]Weighting!$B$1:$C$1,0)),INDEX([4]Weighting!$B$2:$C$40,MATCH(AB$1,[4]Weighting!$A$2:$A$10,0),MATCH(AB41,[4]Weighting!$B$1:$C$1,0)),INDEX([4]Weighting!$B$2:$C$40,MATCH(AC$1,[4]Weighting!$A$2:$A$10,0),MATCH(AC41,[4]Weighting!$B$1:$C$1,0)),INDEX([4]Weighting!$B$2:$C$40,MATCH(AD$1,[4]Weighting!$A$2:$A$10,0),MATCH(AD41,[4]Weighting!$B$1:$C$1,0)),VLOOKUP(J41,'[4]List table'!$C$2:$D$5,2,0))</f>
        <v>#N/A</v>
      </c>
      <c r="V41" s="22"/>
      <c r="W41" s="22"/>
      <c r="X41" s="22"/>
      <c r="Y41" s="22"/>
      <c r="Z41" s="22"/>
      <c r="AA41" s="22"/>
      <c r="AB41" s="22"/>
      <c r="AC41" s="22"/>
      <c r="AD41" s="22"/>
      <c r="AE41" s="22"/>
      <c r="AF41" s="22"/>
      <c r="AG41" s="24" t="s">
        <v>283</v>
      </c>
    </row>
    <row r="42" spans="1:33" ht="45" x14ac:dyDescent="0.25">
      <c r="A42" s="19" t="s">
        <v>109</v>
      </c>
      <c r="B42" s="22" t="s">
        <v>110</v>
      </c>
      <c r="C42" s="25" t="s">
        <v>284</v>
      </c>
      <c r="D42" s="89" t="s">
        <v>285</v>
      </c>
      <c r="E42" s="85" t="str">
        <f t="shared" si="1"/>
        <v>Chris Johnson</v>
      </c>
      <c r="F42" s="85" t="s">
        <v>27</v>
      </c>
      <c r="G42" s="22" t="s">
        <v>111</v>
      </c>
      <c r="H42" s="20"/>
      <c r="I42" s="22"/>
      <c r="J42" s="22" t="s">
        <v>224</v>
      </c>
      <c r="K42" s="20" t="s">
        <v>226</v>
      </c>
      <c r="L42" s="20" t="s">
        <v>382</v>
      </c>
      <c r="M42" s="19"/>
      <c r="N42" s="19"/>
      <c r="O42" s="19"/>
      <c r="P42" s="15" t="s">
        <v>199</v>
      </c>
      <c r="Q42" s="15" t="s">
        <v>199</v>
      </c>
      <c r="R42" s="19"/>
      <c r="S42" s="19"/>
      <c r="T42" s="19"/>
      <c r="U42" s="21">
        <f>SUM(INDEX([4]Weighting!$B$2:$C$40,MATCH(V$1,[4]Weighting!$A$2:$A$10,0),MATCH(V42,[4]Weighting!$B$1:$C$1,0)),INDEX([4]Weighting!$B$2:$C$40,MATCH(W$1,[4]Weighting!$A$2:$A$10,0),MATCH(W42,[4]Weighting!$B$1:$C$1,0)),INDEX([4]Weighting!$B$2:$C$40,MATCH(X$1,[4]Weighting!$A$2:$A$10,0),MATCH(X42,[4]Weighting!$B$1:$C$1,0)),INDEX([4]Weighting!$B$2:$C$40,MATCH(Y$1,[4]Weighting!$A$2:$A$10,0),MATCH(Y42,[4]Weighting!$B$1:$C$1,0)),INDEX([4]Weighting!$B$2:$C$40,MATCH(Z$1,[4]Weighting!$A$2:$A$10,0),MATCH(Z42,[4]Weighting!$B$1:$C$1,0)),INDEX([4]Weighting!$B$2:$C$40,MATCH(AA$1,[4]Weighting!$A$2:$A$10,0),MATCH(AA42,[4]Weighting!$B$1:$C$1,0)),INDEX([4]Weighting!$B$2:$C$40,MATCH(AB$1,[4]Weighting!$A$2:$A$10,0),MATCH(AB42,[4]Weighting!$B$1:$C$1,0)),INDEX([4]Weighting!$B$2:$C$40,MATCH(AC$1,[4]Weighting!$A$2:$A$10,0),MATCH(AC42,[4]Weighting!$B$1:$C$1,0)),INDEX([4]Weighting!$B$2:$C$40,MATCH(AD$1,[4]Weighting!$A$2:$A$10,0),MATCH(AD42,[4]Weighting!$B$1:$C$1,0)),VLOOKUP(J42,'[4]List table'!$C$2:$D$5,2,0))</f>
        <v>14</v>
      </c>
      <c r="V42" s="22" t="s">
        <v>199</v>
      </c>
      <c r="W42" s="25" t="s">
        <v>199</v>
      </c>
      <c r="X42" s="25" t="s">
        <v>199</v>
      </c>
      <c r="Y42" s="22" t="s">
        <v>199</v>
      </c>
      <c r="Z42" s="22" t="s">
        <v>199</v>
      </c>
      <c r="AA42" s="22" t="s">
        <v>226</v>
      </c>
      <c r="AB42" s="25" t="s">
        <v>199</v>
      </c>
      <c r="AC42" s="22" t="s">
        <v>226</v>
      </c>
      <c r="AD42" s="25" t="s">
        <v>199</v>
      </c>
      <c r="AE42" s="22" t="s">
        <v>226</v>
      </c>
      <c r="AF42" s="22"/>
    </row>
    <row r="43" spans="1:33" ht="45" x14ac:dyDescent="0.25">
      <c r="A43" s="19" t="s">
        <v>112</v>
      </c>
      <c r="B43" s="22" t="s">
        <v>113</v>
      </c>
      <c r="C43" s="43" t="s">
        <v>286</v>
      </c>
      <c r="D43" s="48" t="s">
        <v>114</v>
      </c>
      <c r="E43" s="85" t="str">
        <f t="shared" si="1"/>
        <v>Steven Sones</v>
      </c>
      <c r="F43" s="85" t="s">
        <v>115</v>
      </c>
      <c r="G43" s="22" t="s">
        <v>111</v>
      </c>
      <c r="H43" s="20"/>
      <c r="I43" s="22"/>
      <c r="J43" s="22" t="s">
        <v>224</v>
      </c>
      <c r="K43" s="20" t="s">
        <v>226</v>
      </c>
      <c r="L43" s="20" t="s">
        <v>379</v>
      </c>
      <c r="M43" s="19"/>
      <c r="N43" s="19"/>
      <c r="O43" s="19"/>
      <c r="P43" s="15" t="s">
        <v>199</v>
      </c>
      <c r="Q43" s="15" t="s">
        <v>199</v>
      </c>
      <c r="R43" s="19"/>
      <c r="S43" s="19"/>
      <c r="T43" s="19"/>
      <c r="U43" s="21">
        <f>SUM(INDEX([4]Weighting!$B$2:$C$40,MATCH(V$1,[4]Weighting!$A$2:$A$10,0),MATCH(V43,[4]Weighting!$B$1:$C$1,0)),INDEX([4]Weighting!$B$2:$C$40,MATCH(W$1,[4]Weighting!$A$2:$A$10,0),MATCH(W43,[4]Weighting!$B$1:$C$1,0)),INDEX([4]Weighting!$B$2:$C$40,MATCH(X$1,[4]Weighting!$A$2:$A$10,0),MATCH(X43,[4]Weighting!$B$1:$C$1,0)),INDEX([4]Weighting!$B$2:$C$40,MATCH(Y$1,[4]Weighting!$A$2:$A$10,0),MATCH(Y43,[4]Weighting!$B$1:$C$1,0)),INDEX([4]Weighting!$B$2:$C$40,MATCH(Z$1,[4]Weighting!$A$2:$A$10,0),MATCH(Z43,[4]Weighting!$B$1:$C$1,0)),INDEX([4]Weighting!$B$2:$C$40,MATCH(AA$1,[4]Weighting!$A$2:$A$10,0),MATCH(AA43,[4]Weighting!$B$1:$C$1,0)),INDEX([4]Weighting!$B$2:$C$40,MATCH(AB$1,[4]Weighting!$A$2:$A$10,0),MATCH(AB43,[4]Weighting!$B$1:$C$1,0)),INDEX([4]Weighting!$B$2:$C$40,MATCH(AC$1,[4]Weighting!$A$2:$A$10,0),MATCH(AC43,[4]Weighting!$B$1:$C$1,0)),INDEX([4]Weighting!$B$2:$C$40,MATCH(AD$1,[4]Weighting!$A$2:$A$10,0),MATCH(AD43,[4]Weighting!$B$1:$C$1,0)),VLOOKUP(J43,'[4]List table'!$C$2:$D$5,2,0))</f>
        <v>13</v>
      </c>
      <c r="V43" s="22" t="s">
        <v>199</v>
      </c>
      <c r="W43" s="22" t="s">
        <v>226</v>
      </c>
      <c r="X43" s="22" t="s">
        <v>226</v>
      </c>
      <c r="Y43" s="22" t="s">
        <v>199</v>
      </c>
      <c r="Z43" s="22" t="s">
        <v>226</v>
      </c>
      <c r="AA43" s="22" t="s">
        <v>226</v>
      </c>
      <c r="AB43" s="22" t="s">
        <v>226</v>
      </c>
      <c r="AC43" s="22" t="s">
        <v>199</v>
      </c>
      <c r="AD43" s="22" t="s">
        <v>199</v>
      </c>
      <c r="AE43" s="22" t="s">
        <v>226</v>
      </c>
      <c r="AF43" s="22"/>
    </row>
    <row r="44" spans="1:33" ht="45" x14ac:dyDescent="0.25">
      <c r="A44" s="19" t="s">
        <v>116</v>
      </c>
      <c r="B44" s="20" t="s">
        <v>117</v>
      </c>
      <c r="C44" s="22" t="s">
        <v>287</v>
      </c>
      <c r="D44" s="48" t="s">
        <v>288</v>
      </c>
      <c r="E44" s="85" t="str">
        <f t="shared" si="1"/>
        <v>Stephanie Price</v>
      </c>
      <c r="F44" s="85" t="s">
        <v>118</v>
      </c>
      <c r="G44" s="22" t="s">
        <v>126</v>
      </c>
      <c r="H44" s="20"/>
      <c r="I44" s="22" t="s">
        <v>224</v>
      </c>
      <c r="J44" s="22" t="s">
        <v>224</v>
      </c>
      <c r="K44" s="20" t="s">
        <v>226</v>
      </c>
      <c r="L44" s="20" t="s">
        <v>126</v>
      </c>
      <c r="M44" s="19" t="s">
        <v>199</v>
      </c>
      <c r="N44" s="19" t="s">
        <v>199</v>
      </c>
      <c r="O44" s="19" t="s">
        <v>226</v>
      </c>
      <c r="P44" s="15" t="s">
        <v>199</v>
      </c>
      <c r="Q44" s="15" t="s">
        <v>199</v>
      </c>
      <c r="R44" s="19" t="s">
        <v>226</v>
      </c>
      <c r="S44" s="19" t="s">
        <v>226</v>
      </c>
      <c r="T44" s="19" t="s">
        <v>199</v>
      </c>
      <c r="U44" s="21">
        <f>SUM(INDEX([4]Weighting!$B$2:$C$40,MATCH(V$1,[4]Weighting!$A$2:$A$10,0),MATCH(V44,[4]Weighting!$B$1:$C$1,0)),INDEX([4]Weighting!$B$2:$C$40,MATCH(W$1,[4]Weighting!$A$2:$A$10,0),MATCH(W44,[4]Weighting!$B$1:$C$1,0)),INDEX([4]Weighting!$B$2:$C$40,MATCH(X$1,[4]Weighting!$A$2:$A$10,0),MATCH(X44,[4]Weighting!$B$1:$C$1,0)),INDEX([4]Weighting!$B$2:$C$40,MATCH(Y$1,[4]Weighting!$A$2:$A$10,0),MATCH(Y44,[4]Weighting!$B$1:$C$1,0)),INDEX([4]Weighting!$B$2:$C$40,MATCH(Z$1,[4]Weighting!$A$2:$A$10,0),MATCH(Z44,[4]Weighting!$B$1:$C$1,0)),INDEX([4]Weighting!$B$2:$C$40,MATCH(AA$1,[4]Weighting!$A$2:$A$10,0),MATCH(AA44,[4]Weighting!$B$1:$C$1,0)),INDEX([4]Weighting!$B$2:$C$40,MATCH(AB$1,[4]Weighting!$A$2:$A$10,0),MATCH(AB44,[4]Weighting!$B$1:$C$1,0)),INDEX([4]Weighting!$B$2:$C$40,MATCH(AC$1,[4]Weighting!$A$2:$A$10,0),MATCH(AC44,[4]Weighting!$B$1:$C$1,0)),INDEX([4]Weighting!$B$2:$C$40,MATCH(AD$1,[4]Weighting!$A$2:$A$10,0),MATCH(AD44,[4]Weighting!$B$1:$C$1,0)),VLOOKUP(J44,'[4]List table'!$C$2:$D$5,2,0))</f>
        <v>9</v>
      </c>
      <c r="V44" s="22" t="s">
        <v>199</v>
      </c>
      <c r="W44" s="44" t="s">
        <v>226</v>
      </c>
      <c r="X44" s="44" t="s">
        <v>199</v>
      </c>
      <c r="Y44" s="22" t="s">
        <v>226</v>
      </c>
      <c r="Z44" s="22" t="s">
        <v>199</v>
      </c>
      <c r="AA44" s="22" t="s">
        <v>226</v>
      </c>
      <c r="AB44" s="22" t="s">
        <v>199</v>
      </c>
      <c r="AC44" s="22" t="s">
        <v>199</v>
      </c>
      <c r="AD44" s="22" t="s">
        <v>226</v>
      </c>
      <c r="AE44" s="22" t="s">
        <v>226</v>
      </c>
      <c r="AF44" s="22"/>
      <c r="AG44" s="24" t="s">
        <v>289</v>
      </c>
    </row>
    <row r="45" spans="1:33" ht="45" x14ac:dyDescent="0.25">
      <c r="A45" s="19" t="s">
        <v>120</v>
      </c>
      <c r="B45" s="20" t="s">
        <v>121</v>
      </c>
      <c r="C45" s="49" t="s">
        <v>290</v>
      </c>
      <c r="D45" s="48" t="s">
        <v>291</v>
      </c>
      <c r="E45" s="85" t="str">
        <f t="shared" si="1"/>
        <v>Dina Maxwell</v>
      </c>
      <c r="F45" s="85" t="s">
        <v>31</v>
      </c>
      <c r="G45" s="22" t="s">
        <v>122</v>
      </c>
      <c r="H45" s="20" t="s">
        <v>224</v>
      </c>
      <c r="I45" s="22" t="s">
        <v>224</v>
      </c>
      <c r="J45" s="22" t="s">
        <v>224</v>
      </c>
      <c r="K45" s="20" t="s">
        <v>226</v>
      </c>
      <c r="L45" s="20" t="s">
        <v>122</v>
      </c>
      <c r="M45" s="19" t="s">
        <v>226</v>
      </c>
      <c r="N45" s="19" t="s">
        <v>226</v>
      </c>
      <c r="O45" s="19" t="s">
        <v>226</v>
      </c>
      <c r="P45" s="15" t="s">
        <v>226</v>
      </c>
      <c r="Q45" s="15" t="s">
        <v>226</v>
      </c>
      <c r="R45" s="19" t="s">
        <v>226</v>
      </c>
      <c r="S45" s="19" t="s">
        <v>226</v>
      </c>
      <c r="T45" s="19" t="s">
        <v>226</v>
      </c>
      <c r="U45" s="21" t="e">
        <f>SUM(INDEX([4]Weighting!$B$2:$C$40,MATCH(V$1,[4]Weighting!$A$2:$A$10,0),MATCH(V45,[4]Weighting!$B$1:$C$1,0)),INDEX([4]Weighting!$B$2:$C$40,MATCH(W$1,[4]Weighting!$A$2:$A$10,0),MATCH(W45,[4]Weighting!$B$1:$C$1,0)),INDEX([4]Weighting!$B$2:$C$40,MATCH(X$1,[4]Weighting!$A$2:$A$10,0),MATCH(X45,[4]Weighting!$B$1:$C$1,0)),INDEX([4]Weighting!$B$2:$C$40,MATCH(Y$1,[4]Weighting!$A$2:$A$10,0),MATCH(Y45,[4]Weighting!$B$1:$C$1,0)),INDEX([4]Weighting!$B$2:$C$40,MATCH(Z$1,[4]Weighting!$A$2:$A$10,0),MATCH(Z45,[4]Weighting!$B$1:$C$1,0)),INDEX([4]Weighting!$B$2:$C$40,MATCH(AA$1,[4]Weighting!$A$2:$A$10,0),MATCH(AA45,[4]Weighting!$B$1:$C$1,0)),INDEX([4]Weighting!$B$2:$C$40,MATCH(AB$1,[4]Weighting!$A$2:$A$10,0),MATCH(AB45,[4]Weighting!$B$1:$C$1,0)),INDEX([4]Weighting!$B$2:$C$40,MATCH(AC$1,[4]Weighting!$A$2:$A$10,0),MATCH(AC45,[4]Weighting!$B$1:$C$1,0)),INDEX([4]Weighting!$B$2:$C$40,MATCH(AD$1,[4]Weighting!$A$2:$A$10,0),MATCH(AD45,[4]Weighting!$B$1:$C$1,0)),VLOOKUP(J45,'[4]List table'!$C$2:$D$5,2,0))</f>
        <v>#N/A</v>
      </c>
      <c r="V45" s="22"/>
      <c r="W45" s="22"/>
      <c r="X45" s="22"/>
      <c r="Y45" s="22"/>
      <c r="Z45" s="22"/>
      <c r="AA45" s="22"/>
      <c r="AB45" s="22"/>
      <c r="AC45" s="22"/>
      <c r="AD45" s="22"/>
      <c r="AE45" s="22"/>
      <c r="AF45" s="22"/>
      <c r="AG45" s="24" t="s">
        <v>292</v>
      </c>
    </row>
    <row r="46" spans="1:33" s="42" customFormat="1" hidden="1" x14ac:dyDescent="0.25">
      <c r="A46" s="39" t="s">
        <v>432</v>
      </c>
      <c r="B46" s="36" t="s">
        <v>433</v>
      </c>
      <c r="C46" s="41" t="s">
        <v>434</v>
      </c>
      <c r="D46" s="50" t="s">
        <v>224</v>
      </c>
      <c r="E46" s="86" t="str">
        <f t="shared" si="1"/>
        <v>Not Applicable</v>
      </c>
      <c r="F46" s="86" t="str">
        <f>E46</f>
        <v>Not Applicable</v>
      </c>
      <c r="G46" s="41" t="s">
        <v>126</v>
      </c>
      <c r="H46" s="36" t="s">
        <v>224</v>
      </c>
      <c r="I46" s="41" t="s">
        <v>224</v>
      </c>
      <c r="J46" s="41" t="s">
        <v>224</v>
      </c>
      <c r="K46" s="36" t="s">
        <v>226</v>
      </c>
      <c r="L46" s="36" t="s">
        <v>126</v>
      </c>
      <c r="M46" s="19" t="s">
        <v>226</v>
      </c>
      <c r="N46" s="19" t="s">
        <v>226</v>
      </c>
      <c r="O46" s="19" t="s">
        <v>226</v>
      </c>
      <c r="P46" s="15" t="s">
        <v>226</v>
      </c>
      <c r="Q46" s="15" t="s">
        <v>226</v>
      </c>
      <c r="R46" s="19" t="s">
        <v>226</v>
      </c>
      <c r="S46" s="19" t="s">
        <v>226</v>
      </c>
      <c r="T46" s="19" t="s">
        <v>226</v>
      </c>
      <c r="U46" s="21" t="e">
        <f>SUM(INDEX([4]Weighting!$B$2:$C$40,MATCH(V$1,[4]Weighting!$A$2:$A$10,0),MATCH(V46,[4]Weighting!$B$1:$C$1,0)),INDEX([4]Weighting!$B$2:$C$40,MATCH(W$1,[4]Weighting!$A$2:$A$10,0),MATCH(W46,[4]Weighting!$B$1:$C$1,0)),INDEX([4]Weighting!$B$2:$C$40,MATCH(X$1,[4]Weighting!$A$2:$A$10,0),MATCH(X46,[4]Weighting!$B$1:$C$1,0)),INDEX([4]Weighting!$B$2:$C$40,MATCH(Y$1,[4]Weighting!$A$2:$A$10,0),MATCH(Y46,[4]Weighting!$B$1:$C$1,0)),INDEX([4]Weighting!$B$2:$C$40,MATCH(Z$1,[4]Weighting!$A$2:$A$10,0),MATCH(Z46,[4]Weighting!$B$1:$C$1,0)),INDEX([4]Weighting!$B$2:$C$40,MATCH(AA$1,[4]Weighting!$A$2:$A$10,0),MATCH(AA46,[4]Weighting!$B$1:$C$1,0)),INDEX([4]Weighting!$B$2:$C$40,MATCH(AB$1,[4]Weighting!$A$2:$A$10,0),MATCH(AB46,[4]Weighting!$B$1:$C$1,0)),INDEX([4]Weighting!$B$2:$C$40,MATCH(AC$1,[4]Weighting!$A$2:$A$10,0),MATCH(AC46,[4]Weighting!$B$1:$C$1,0)),INDEX([4]Weighting!$B$2:$C$40,MATCH(AD$1,[4]Weighting!$A$2:$A$10,0),MATCH(AD46,[4]Weighting!$B$1:$C$1,0)),VLOOKUP(J46,'[4]List table'!$C$2:$D$5,2,0))</f>
        <v>#N/A</v>
      </c>
      <c r="V46" s="22"/>
      <c r="W46" s="22"/>
      <c r="X46" s="22"/>
      <c r="Y46" s="22"/>
      <c r="Z46" s="22"/>
      <c r="AA46" s="22"/>
      <c r="AB46" s="22"/>
      <c r="AC46" s="22"/>
      <c r="AD46" s="22"/>
      <c r="AE46" s="22"/>
      <c r="AF46" s="22"/>
    </row>
    <row r="47" spans="1:33" ht="21.4" customHeight="1" x14ac:dyDescent="0.25">
      <c r="A47" s="19" t="s">
        <v>123</v>
      </c>
      <c r="B47" s="20" t="s">
        <v>124</v>
      </c>
      <c r="C47" s="22" t="s">
        <v>293</v>
      </c>
      <c r="D47" s="18" t="s">
        <v>125</v>
      </c>
      <c r="E47" s="81" t="str">
        <f t="shared" si="1"/>
        <v>Ursula Iten-Mcgrath</v>
      </c>
      <c r="F47" s="81" t="s">
        <v>31</v>
      </c>
      <c r="G47" s="22" t="s">
        <v>126</v>
      </c>
      <c r="H47" s="20" t="s">
        <v>224</v>
      </c>
      <c r="I47" s="22" t="s">
        <v>224</v>
      </c>
      <c r="J47" s="22" t="s">
        <v>224</v>
      </c>
      <c r="K47" s="20" t="s">
        <v>226</v>
      </c>
      <c r="L47" s="20" t="s">
        <v>126</v>
      </c>
      <c r="M47" s="19" t="s">
        <v>226</v>
      </c>
      <c r="N47" s="19" t="s">
        <v>226</v>
      </c>
      <c r="O47" s="19" t="s">
        <v>226</v>
      </c>
      <c r="P47" s="15" t="s">
        <v>199</v>
      </c>
      <c r="Q47" s="15" t="s">
        <v>226</v>
      </c>
      <c r="R47" s="19" t="s">
        <v>226</v>
      </c>
      <c r="S47" s="19" t="s">
        <v>226</v>
      </c>
      <c r="T47" s="19" t="s">
        <v>226</v>
      </c>
      <c r="U47" s="21" t="e">
        <f>SUM(INDEX([4]Weighting!$B$2:$C$40,MATCH(V$1,[4]Weighting!$A$2:$A$10,0),MATCH(V47,[4]Weighting!$B$1:$C$1,0)),INDEX([4]Weighting!$B$2:$C$40,MATCH(W$1,[4]Weighting!$A$2:$A$10,0),MATCH(W47,[4]Weighting!$B$1:$C$1,0)),INDEX([4]Weighting!$B$2:$C$40,MATCH(X$1,[4]Weighting!$A$2:$A$10,0),MATCH(X47,[4]Weighting!$B$1:$C$1,0)),INDEX([4]Weighting!$B$2:$C$40,MATCH(Y$1,[4]Weighting!$A$2:$A$10,0),MATCH(Y47,[4]Weighting!$B$1:$C$1,0)),INDEX([4]Weighting!$B$2:$C$40,MATCH(Z$1,[4]Weighting!$A$2:$A$10,0),MATCH(Z47,[4]Weighting!$B$1:$C$1,0)),INDEX([4]Weighting!$B$2:$C$40,MATCH(AA$1,[4]Weighting!$A$2:$A$10,0),MATCH(AA47,[4]Weighting!$B$1:$C$1,0)),INDEX([4]Weighting!$B$2:$C$40,MATCH(AB$1,[4]Weighting!$A$2:$A$10,0),MATCH(AB47,[4]Weighting!$B$1:$C$1,0)),INDEX([4]Weighting!$B$2:$C$40,MATCH(AC$1,[4]Weighting!$A$2:$A$10,0),MATCH(AC47,[4]Weighting!$B$1:$C$1,0)),INDEX([4]Weighting!$B$2:$C$40,MATCH(AD$1,[4]Weighting!$A$2:$A$10,0),MATCH(AD47,[4]Weighting!$B$1:$C$1,0)),VLOOKUP(J47,'[4]List table'!$C$2:$D$5,2,0))</f>
        <v>#N/A</v>
      </c>
      <c r="V47" s="22"/>
      <c r="W47" s="22"/>
      <c r="X47" s="22"/>
      <c r="Y47" s="22"/>
      <c r="Z47" s="22"/>
      <c r="AA47" s="22"/>
      <c r="AB47" s="22"/>
      <c r="AC47" s="22"/>
      <c r="AD47" s="22"/>
      <c r="AE47" s="22"/>
      <c r="AF47" s="22"/>
      <c r="AG47" s="24" t="s">
        <v>294</v>
      </c>
    </row>
    <row r="48" spans="1:33" ht="30" x14ac:dyDescent="0.25">
      <c r="A48" s="19" t="s">
        <v>127</v>
      </c>
      <c r="B48" s="20" t="s">
        <v>128</v>
      </c>
      <c r="C48" s="22" t="s">
        <v>295</v>
      </c>
      <c r="D48" s="18" t="s">
        <v>125</v>
      </c>
      <c r="E48" s="81" t="str">
        <f t="shared" si="1"/>
        <v>Ursula Iten-Mcgrath</v>
      </c>
      <c r="F48" s="81" t="s">
        <v>31</v>
      </c>
      <c r="G48" s="22" t="s">
        <v>126</v>
      </c>
      <c r="H48" s="20" t="s">
        <v>224</v>
      </c>
      <c r="I48" s="22" t="s">
        <v>224</v>
      </c>
      <c r="J48" s="22" t="s">
        <v>224</v>
      </c>
      <c r="K48" s="20" t="s">
        <v>226</v>
      </c>
      <c r="L48" s="20" t="s">
        <v>126</v>
      </c>
      <c r="M48" s="19" t="s">
        <v>226</v>
      </c>
      <c r="N48" s="19" t="s">
        <v>226</v>
      </c>
      <c r="O48" s="19" t="s">
        <v>226</v>
      </c>
      <c r="P48" s="15" t="s">
        <v>226</v>
      </c>
      <c r="Q48" s="15" t="s">
        <v>226</v>
      </c>
      <c r="R48" s="19" t="s">
        <v>226</v>
      </c>
      <c r="S48" s="19" t="s">
        <v>226</v>
      </c>
      <c r="T48" s="19" t="s">
        <v>226</v>
      </c>
      <c r="U48" s="21" t="e">
        <f>SUM(INDEX([4]Weighting!$B$2:$C$40,MATCH(V$1,[4]Weighting!$A$2:$A$10,0),MATCH(V48,[4]Weighting!$B$1:$C$1,0)),INDEX([4]Weighting!$B$2:$C$40,MATCH(W$1,[4]Weighting!$A$2:$A$10,0),MATCH(W48,[4]Weighting!$B$1:$C$1,0)),INDEX([4]Weighting!$B$2:$C$40,MATCH(X$1,[4]Weighting!$A$2:$A$10,0),MATCH(X48,[4]Weighting!$B$1:$C$1,0)),INDEX([4]Weighting!$B$2:$C$40,MATCH(Y$1,[4]Weighting!$A$2:$A$10,0),MATCH(Y48,[4]Weighting!$B$1:$C$1,0)),INDEX([4]Weighting!$B$2:$C$40,MATCH(Z$1,[4]Weighting!$A$2:$A$10,0),MATCH(Z48,[4]Weighting!$B$1:$C$1,0)),INDEX([4]Weighting!$B$2:$C$40,MATCH(AA$1,[4]Weighting!$A$2:$A$10,0),MATCH(AA48,[4]Weighting!$B$1:$C$1,0)),INDEX([4]Weighting!$B$2:$C$40,MATCH(AB$1,[4]Weighting!$A$2:$A$10,0),MATCH(AB48,[4]Weighting!$B$1:$C$1,0)),INDEX([4]Weighting!$B$2:$C$40,MATCH(AC$1,[4]Weighting!$A$2:$A$10,0),MATCH(AC48,[4]Weighting!$B$1:$C$1,0)),INDEX([4]Weighting!$B$2:$C$40,MATCH(AD$1,[4]Weighting!$A$2:$A$10,0),MATCH(AD48,[4]Weighting!$B$1:$C$1,0)),VLOOKUP(J48,'[4]List table'!$C$2:$D$5,2,0))</f>
        <v>#N/A</v>
      </c>
      <c r="V48" s="22"/>
      <c r="W48" s="22"/>
      <c r="X48" s="22"/>
      <c r="Y48" s="22"/>
      <c r="Z48" s="22"/>
      <c r="AA48" s="22"/>
      <c r="AB48" s="22"/>
      <c r="AC48" s="22"/>
      <c r="AD48" s="22"/>
      <c r="AE48" s="22"/>
      <c r="AF48" s="22"/>
      <c r="AG48" s="24" t="s">
        <v>296</v>
      </c>
    </row>
    <row r="49" spans="1:33" ht="45" x14ac:dyDescent="0.25">
      <c r="A49" s="19" t="s">
        <v>129</v>
      </c>
      <c r="B49" s="20" t="s">
        <v>130</v>
      </c>
      <c r="C49" s="20" t="s">
        <v>297</v>
      </c>
      <c r="D49" s="48" t="s">
        <v>298</v>
      </c>
      <c r="E49" s="85" t="str">
        <f t="shared" si="1"/>
        <v>Ursula Iten-Mcgrath</v>
      </c>
      <c r="F49" s="85" t="s">
        <v>31</v>
      </c>
      <c r="G49" s="22" t="s">
        <v>126</v>
      </c>
      <c r="H49" s="20"/>
      <c r="I49" s="22" t="s">
        <v>224</v>
      </c>
      <c r="J49" s="22" t="s">
        <v>224</v>
      </c>
      <c r="K49" s="20" t="s">
        <v>226</v>
      </c>
      <c r="L49" s="20" t="s">
        <v>126</v>
      </c>
      <c r="M49" s="19" t="s">
        <v>226</v>
      </c>
      <c r="N49" s="19" t="s">
        <v>199</v>
      </c>
      <c r="O49" s="19" t="s">
        <v>226</v>
      </c>
      <c r="P49" s="15" t="s">
        <v>226</v>
      </c>
      <c r="Q49" s="15" t="s">
        <v>199</v>
      </c>
      <c r="R49" s="19" t="s">
        <v>226</v>
      </c>
      <c r="S49" s="19" t="s">
        <v>226</v>
      </c>
      <c r="T49" s="19" t="s">
        <v>199</v>
      </c>
      <c r="U49" s="21">
        <f>SUM(INDEX([4]Weighting!$B$2:$C$40,MATCH(V$1,[4]Weighting!$A$2:$A$10,0),MATCH(V49,[4]Weighting!$B$1:$C$1,0)),INDEX([4]Weighting!$B$2:$C$40,MATCH(W$1,[4]Weighting!$A$2:$A$10,0),MATCH(W49,[4]Weighting!$B$1:$C$1,0)),INDEX([4]Weighting!$B$2:$C$40,MATCH(X$1,[4]Weighting!$A$2:$A$10,0),MATCH(X49,[4]Weighting!$B$1:$C$1,0)),INDEX([4]Weighting!$B$2:$C$40,MATCH(Y$1,[4]Weighting!$A$2:$A$10,0),MATCH(Y49,[4]Weighting!$B$1:$C$1,0)),INDEX([4]Weighting!$B$2:$C$40,MATCH(Z$1,[4]Weighting!$A$2:$A$10,0),MATCH(Z49,[4]Weighting!$B$1:$C$1,0)),INDEX([4]Weighting!$B$2:$C$40,MATCH(AA$1,[4]Weighting!$A$2:$A$10,0),MATCH(AA49,[4]Weighting!$B$1:$C$1,0)),INDEX([4]Weighting!$B$2:$C$40,MATCH(AB$1,[4]Weighting!$A$2:$A$10,0),MATCH(AB49,[4]Weighting!$B$1:$C$1,0)),INDEX([4]Weighting!$B$2:$C$40,MATCH(AC$1,[4]Weighting!$A$2:$A$10,0),MATCH(AC49,[4]Weighting!$B$1:$C$1,0)),INDEX([4]Weighting!$B$2:$C$40,MATCH(AD$1,[4]Weighting!$A$2:$A$10,0),MATCH(AD49,[4]Weighting!$B$1:$C$1,0)),VLOOKUP(J49,'[4]List table'!$C$2:$D$5,2,0))</f>
        <v>10</v>
      </c>
      <c r="V49" s="22" t="s">
        <v>199</v>
      </c>
      <c r="W49" s="44" t="s">
        <v>226</v>
      </c>
      <c r="X49" s="44" t="s">
        <v>199</v>
      </c>
      <c r="Y49" s="22" t="s">
        <v>226</v>
      </c>
      <c r="Z49" s="22" t="s">
        <v>199</v>
      </c>
      <c r="AA49" s="22" t="s">
        <v>226</v>
      </c>
      <c r="AB49" s="22" t="s">
        <v>199</v>
      </c>
      <c r="AC49" s="22" t="s">
        <v>199</v>
      </c>
      <c r="AD49" s="22" t="s">
        <v>199</v>
      </c>
      <c r="AE49" s="22" t="s">
        <v>226</v>
      </c>
      <c r="AF49" s="22"/>
      <c r="AG49" s="24" t="s">
        <v>299</v>
      </c>
    </row>
    <row r="50" spans="1:33" s="53" customFormat="1" ht="114.4" customHeight="1" x14ac:dyDescent="0.25">
      <c r="A50" s="34" t="s">
        <v>131</v>
      </c>
      <c r="B50" s="43" t="s">
        <v>132</v>
      </c>
      <c r="C50" s="43" t="s">
        <v>300</v>
      </c>
      <c r="D50" s="48" t="s">
        <v>301</v>
      </c>
      <c r="E50" s="85" t="str">
        <f t="shared" si="1"/>
        <v>Stephanie Price</v>
      </c>
      <c r="F50" s="85" t="s">
        <v>118</v>
      </c>
      <c r="G50" s="25" t="s">
        <v>126</v>
      </c>
      <c r="H50" s="43" t="s">
        <v>224</v>
      </c>
      <c r="I50" s="25" t="s">
        <v>224</v>
      </c>
      <c r="J50" s="25" t="s">
        <v>224</v>
      </c>
      <c r="K50" s="43" t="s">
        <v>226</v>
      </c>
      <c r="L50" s="43" t="s">
        <v>126</v>
      </c>
      <c r="M50" s="34" t="s">
        <v>226</v>
      </c>
      <c r="N50" s="34" t="s">
        <v>226</v>
      </c>
      <c r="O50" s="34" t="s">
        <v>226</v>
      </c>
      <c r="P50" s="51" t="s">
        <v>226</v>
      </c>
      <c r="Q50" s="51" t="s">
        <v>226</v>
      </c>
      <c r="R50" s="34" t="s">
        <v>226</v>
      </c>
      <c r="S50" s="34" t="s">
        <v>226</v>
      </c>
      <c r="T50" s="34" t="s">
        <v>226</v>
      </c>
      <c r="U50" s="52" t="e">
        <f>SUM(INDEX([4]Weighting!$B$2:$C$40,MATCH(V$1,[4]Weighting!$A$2:$A$10,0),MATCH(V50,[4]Weighting!$B$1:$C$1,0)),INDEX([4]Weighting!$B$2:$C$40,MATCH(W$1,[4]Weighting!$A$2:$A$10,0),MATCH(W50,[4]Weighting!$B$1:$C$1,0)),INDEX([4]Weighting!$B$2:$C$40,MATCH(X$1,[4]Weighting!$A$2:$A$10,0),MATCH(X50,[4]Weighting!$B$1:$C$1,0)),INDEX([4]Weighting!$B$2:$C$40,MATCH(Y$1,[4]Weighting!$A$2:$A$10,0),MATCH(Y50,[4]Weighting!$B$1:$C$1,0)),INDEX([4]Weighting!$B$2:$C$40,MATCH(Z$1,[4]Weighting!$A$2:$A$10,0),MATCH(Z50,[4]Weighting!$B$1:$C$1,0)),INDEX([4]Weighting!$B$2:$C$40,MATCH(AA$1,[4]Weighting!$A$2:$A$10,0),MATCH(AA50,[4]Weighting!$B$1:$C$1,0)),INDEX([4]Weighting!$B$2:$C$40,MATCH(AB$1,[4]Weighting!$A$2:$A$10,0),MATCH(AB50,[4]Weighting!$B$1:$C$1,0)),INDEX([4]Weighting!$B$2:$C$40,MATCH(AC$1,[4]Weighting!$A$2:$A$10,0),MATCH(AC50,[4]Weighting!$B$1:$C$1,0)),INDEX([4]Weighting!$B$2:$C$40,MATCH(AD$1,[4]Weighting!$A$2:$A$10,0),MATCH(AD50,[4]Weighting!$B$1:$C$1,0)),VLOOKUP(J50,'[4]List table'!$C$2:$D$5,2,0))</f>
        <v>#N/A</v>
      </c>
      <c r="V50" s="25"/>
      <c r="W50" s="25"/>
      <c r="X50" s="25"/>
      <c r="Y50" s="25"/>
      <c r="Z50" s="25"/>
      <c r="AA50" s="25"/>
      <c r="AB50" s="25"/>
      <c r="AC50" s="25"/>
      <c r="AD50" s="25"/>
      <c r="AE50" s="25"/>
      <c r="AF50" s="25"/>
      <c r="AG50" s="53" t="s">
        <v>302</v>
      </c>
    </row>
    <row r="51" spans="1:33" s="58" customFormat="1" ht="30" x14ac:dyDescent="0.25">
      <c r="A51" s="54" t="s">
        <v>133</v>
      </c>
      <c r="B51" s="30" t="s">
        <v>134</v>
      </c>
      <c r="C51" s="30" t="s">
        <v>303</v>
      </c>
      <c r="D51" s="48" t="s">
        <v>304</v>
      </c>
      <c r="E51" s="85" t="str">
        <f t="shared" si="1"/>
        <v>Alain Camirand</v>
      </c>
      <c r="F51" s="85" t="s">
        <v>94</v>
      </c>
      <c r="G51" s="55" t="s">
        <v>108</v>
      </c>
      <c r="H51" s="30" t="s">
        <v>224</v>
      </c>
      <c r="I51" s="55" t="s">
        <v>224</v>
      </c>
      <c r="J51" s="55" t="s">
        <v>224</v>
      </c>
      <c r="K51" s="30" t="s">
        <v>226</v>
      </c>
      <c r="L51" s="30" t="s">
        <v>382</v>
      </c>
      <c r="M51" s="54" t="s">
        <v>226</v>
      </c>
      <c r="N51" s="54" t="s">
        <v>226</v>
      </c>
      <c r="O51" s="54" t="s">
        <v>226</v>
      </c>
      <c r="P51" s="56" t="s">
        <v>226</v>
      </c>
      <c r="Q51" s="56" t="s">
        <v>226</v>
      </c>
      <c r="R51" s="54" t="s">
        <v>226</v>
      </c>
      <c r="S51" s="54" t="s">
        <v>226</v>
      </c>
      <c r="T51" s="54" t="s">
        <v>226</v>
      </c>
      <c r="U51" s="57" t="e">
        <f>SUM(INDEX([4]Weighting!$B$2:$C$40,MATCH(V$1,[4]Weighting!$A$2:$A$10,0),MATCH(V51,[4]Weighting!$B$1:$C$1,0)),INDEX([4]Weighting!$B$2:$C$40,MATCH(W$1,[4]Weighting!$A$2:$A$10,0),MATCH(W51,[4]Weighting!$B$1:$C$1,0)),INDEX([4]Weighting!$B$2:$C$40,MATCH(X$1,[4]Weighting!$A$2:$A$10,0),MATCH(X51,[4]Weighting!$B$1:$C$1,0)),INDEX([4]Weighting!$B$2:$C$40,MATCH(Y$1,[4]Weighting!$A$2:$A$10,0),MATCH(Y51,[4]Weighting!$B$1:$C$1,0)),INDEX([4]Weighting!$B$2:$C$40,MATCH(Z$1,[4]Weighting!$A$2:$A$10,0),MATCH(Z51,[4]Weighting!$B$1:$C$1,0)),INDEX([4]Weighting!$B$2:$C$40,MATCH(AA$1,[4]Weighting!$A$2:$A$10,0),MATCH(AA51,[4]Weighting!$B$1:$C$1,0)),INDEX([4]Weighting!$B$2:$C$40,MATCH(AB$1,[4]Weighting!$A$2:$A$10,0),MATCH(AB51,[4]Weighting!$B$1:$C$1,0)),INDEX([4]Weighting!$B$2:$C$40,MATCH(AC$1,[4]Weighting!$A$2:$A$10,0),MATCH(AC51,[4]Weighting!$B$1:$C$1,0)),INDEX([4]Weighting!$B$2:$C$40,MATCH(AD$1,[4]Weighting!$A$2:$A$10,0),MATCH(AD51,[4]Weighting!$B$1:$C$1,0)),VLOOKUP(J51,'[4]List table'!$C$2:$D$5,2,0))</f>
        <v>#N/A</v>
      </c>
      <c r="V51" s="55"/>
      <c r="W51" s="55"/>
      <c r="X51" s="55"/>
      <c r="Y51" s="55"/>
      <c r="Z51" s="55"/>
      <c r="AA51" s="55"/>
      <c r="AB51" s="55"/>
      <c r="AC51" s="55"/>
      <c r="AD51" s="55"/>
      <c r="AE51" s="55"/>
      <c r="AF51" s="55"/>
      <c r="AG51" s="58" t="s">
        <v>305</v>
      </c>
    </row>
    <row r="52" spans="1:33" s="58" customFormat="1" ht="30" x14ac:dyDescent="0.25">
      <c r="A52" s="54" t="s">
        <v>135</v>
      </c>
      <c r="B52" s="30" t="s">
        <v>136</v>
      </c>
      <c r="C52" s="55" t="s">
        <v>136</v>
      </c>
      <c r="D52" s="48" t="s">
        <v>304</v>
      </c>
      <c r="E52" s="85" t="str">
        <f t="shared" si="1"/>
        <v>Alain Camirand</v>
      </c>
      <c r="F52" s="85" t="s">
        <v>94</v>
      </c>
      <c r="G52" s="48" t="s">
        <v>108</v>
      </c>
      <c r="H52" s="30" t="s">
        <v>224</v>
      </c>
      <c r="I52" s="55" t="s">
        <v>224</v>
      </c>
      <c r="J52" s="55" t="s">
        <v>224</v>
      </c>
      <c r="K52" s="30" t="s">
        <v>226</v>
      </c>
      <c r="L52" s="30" t="s">
        <v>382</v>
      </c>
      <c r="M52" s="54" t="s">
        <v>226</v>
      </c>
      <c r="N52" s="54" t="s">
        <v>226</v>
      </c>
      <c r="O52" s="54" t="s">
        <v>226</v>
      </c>
      <c r="P52" s="56" t="s">
        <v>226</v>
      </c>
      <c r="Q52" s="56" t="s">
        <v>226</v>
      </c>
      <c r="R52" s="54" t="s">
        <v>226</v>
      </c>
      <c r="S52" s="54" t="s">
        <v>226</v>
      </c>
      <c r="T52" s="54" t="s">
        <v>226</v>
      </c>
      <c r="U52" s="57" t="e">
        <f>SUM(INDEX([4]Weighting!$B$2:$C$40,MATCH(V$1,[4]Weighting!$A$2:$A$10,0),MATCH(V52,[4]Weighting!$B$1:$C$1,0)),INDEX([4]Weighting!$B$2:$C$40,MATCH(W$1,[4]Weighting!$A$2:$A$10,0),MATCH(W52,[4]Weighting!$B$1:$C$1,0)),INDEX([4]Weighting!$B$2:$C$40,MATCH(X$1,[4]Weighting!$A$2:$A$10,0),MATCH(X52,[4]Weighting!$B$1:$C$1,0)),INDEX([4]Weighting!$B$2:$C$40,MATCH(Y$1,[4]Weighting!$A$2:$A$10,0),MATCH(Y52,[4]Weighting!$B$1:$C$1,0)),INDEX([4]Weighting!$B$2:$C$40,MATCH(Z$1,[4]Weighting!$A$2:$A$10,0),MATCH(Z52,[4]Weighting!$B$1:$C$1,0)),INDEX([4]Weighting!$B$2:$C$40,MATCH(AA$1,[4]Weighting!$A$2:$A$10,0),MATCH(AA52,[4]Weighting!$B$1:$C$1,0)),INDEX([4]Weighting!$B$2:$C$40,MATCH(AB$1,[4]Weighting!$A$2:$A$10,0),MATCH(AB52,[4]Weighting!$B$1:$C$1,0)),INDEX([4]Weighting!$B$2:$C$40,MATCH(AC$1,[4]Weighting!$A$2:$A$10,0),MATCH(AC52,[4]Weighting!$B$1:$C$1,0)),INDEX([4]Weighting!$B$2:$C$40,MATCH(AD$1,[4]Weighting!$A$2:$A$10,0),MATCH(AD52,[4]Weighting!$B$1:$C$1,0)),VLOOKUP(J52,'[4]List table'!$C$2:$D$5,2,0))</f>
        <v>#N/A</v>
      </c>
      <c r="V52" s="55"/>
      <c r="W52" s="55"/>
      <c r="X52" s="55"/>
      <c r="Y52" s="55"/>
      <c r="Z52" s="55"/>
      <c r="AA52" s="55"/>
      <c r="AB52" s="55"/>
      <c r="AC52" s="55"/>
      <c r="AD52" s="55"/>
      <c r="AE52" s="55"/>
      <c r="AF52" s="55"/>
      <c r="AG52" s="58" t="s">
        <v>306</v>
      </c>
    </row>
    <row r="53" spans="1:33" ht="30" x14ac:dyDescent="0.25">
      <c r="A53" s="19" t="s">
        <v>137</v>
      </c>
      <c r="B53" s="20" t="s">
        <v>138</v>
      </c>
      <c r="C53" s="22" t="s">
        <v>307</v>
      </c>
      <c r="D53" s="18" t="s">
        <v>308</v>
      </c>
      <c r="E53" s="81" t="str">
        <f t="shared" si="1"/>
        <v>Ursula Iten-Mcgrath</v>
      </c>
      <c r="F53" s="81" t="s">
        <v>31</v>
      </c>
      <c r="G53" s="22" t="s">
        <v>126</v>
      </c>
      <c r="H53" s="43" t="s">
        <v>389</v>
      </c>
      <c r="I53" s="25" t="s">
        <v>309</v>
      </c>
      <c r="J53" s="22" t="s">
        <v>224</v>
      </c>
      <c r="K53" s="20" t="s">
        <v>226</v>
      </c>
      <c r="L53" s="20" t="s">
        <v>126</v>
      </c>
      <c r="M53" s="19" t="s">
        <v>226</v>
      </c>
      <c r="N53" s="19" t="s">
        <v>226</v>
      </c>
      <c r="O53" s="19" t="s">
        <v>226</v>
      </c>
      <c r="P53" s="15" t="s">
        <v>226</v>
      </c>
      <c r="Q53" s="15" t="s">
        <v>226</v>
      </c>
      <c r="R53" s="19" t="s">
        <v>226</v>
      </c>
      <c r="S53" s="19" t="s">
        <v>226</v>
      </c>
      <c r="T53" s="19" t="s">
        <v>226</v>
      </c>
      <c r="U53" s="21" t="e">
        <f>SUM(INDEX([4]Weighting!$B$2:$C$40,MATCH(V$1,[4]Weighting!$A$2:$A$10,0),MATCH(V53,[4]Weighting!$B$1:$C$1,0)),INDEX([4]Weighting!$B$2:$C$40,MATCH(W$1,[4]Weighting!$A$2:$A$10,0),MATCH(W53,[4]Weighting!$B$1:$C$1,0)),INDEX([4]Weighting!$B$2:$C$40,MATCH(X$1,[4]Weighting!$A$2:$A$10,0),MATCH(X53,[4]Weighting!$B$1:$C$1,0)),INDEX([4]Weighting!$B$2:$C$40,MATCH(Y$1,[4]Weighting!$A$2:$A$10,0),MATCH(Y53,[4]Weighting!$B$1:$C$1,0)),INDEX([4]Weighting!$B$2:$C$40,MATCH(Z$1,[4]Weighting!$A$2:$A$10,0),MATCH(Z53,[4]Weighting!$B$1:$C$1,0)),INDEX([4]Weighting!$B$2:$C$40,MATCH(AA$1,[4]Weighting!$A$2:$A$10,0),MATCH(AA53,[4]Weighting!$B$1:$C$1,0)),INDEX([4]Weighting!$B$2:$C$40,MATCH(AB$1,[4]Weighting!$A$2:$A$10,0),MATCH(AB53,[4]Weighting!$B$1:$C$1,0)),INDEX([4]Weighting!$B$2:$C$40,MATCH(AC$1,[4]Weighting!$A$2:$A$10,0),MATCH(AC53,[4]Weighting!$B$1:$C$1,0)),INDEX([4]Weighting!$B$2:$C$40,MATCH(AD$1,[4]Weighting!$A$2:$A$10,0),MATCH(AD53,[4]Weighting!$B$1:$C$1,0)),VLOOKUP(J53,'[4]List table'!$C$2:$D$5,2,0))</f>
        <v>#N/A</v>
      </c>
      <c r="V53" s="22"/>
      <c r="W53" s="22"/>
      <c r="X53" s="22"/>
      <c r="Y53" s="22"/>
      <c r="Z53" s="22"/>
      <c r="AA53" s="22"/>
      <c r="AB53" s="22"/>
      <c r="AC53" s="22"/>
      <c r="AD53" s="22"/>
      <c r="AE53" s="22"/>
      <c r="AF53" s="22"/>
      <c r="AG53" s="24" t="s">
        <v>310</v>
      </c>
    </row>
    <row r="54" spans="1:33" s="93" customFormat="1" ht="30" x14ac:dyDescent="0.25">
      <c r="A54" s="90" t="s">
        <v>139</v>
      </c>
      <c r="B54" s="46" t="s">
        <v>140</v>
      </c>
      <c r="C54" s="75" t="s">
        <v>311</v>
      </c>
      <c r="D54" s="48" t="s">
        <v>312</v>
      </c>
      <c r="E54" s="76" t="str">
        <f t="shared" si="1"/>
        <v>Stephanie Price</v>
      </c>
      <c r="F54" s="76" t="s">
        <v>118</v>
      </c>
      <c r="G54" s="75" t="s">
        <v>126</v>
      </c>
      <c r="H54" s="46" t="s">
        <v>224</v>
      </c>
      <c r="I54" s="75" t="s">
        <v>224</v>
      </c>
      <c r="J54" s="75" t="s">
        <v>224</v>
      </c>
      <c r="K54" s="46" t="s">
        <v>226</v>
      </c>
      <c r="L54" s="46" t="s">
        <v>126</v>
      </c>
      <c r="M54" s="90" t="s">
        <v>226</v>
      </c>
      <c r="N54" s="90" t="s">
        <v>226</v>
      </c>
      <c r="O54" s="90" t="s">
        <v>226</v>
      </c>
      <c r="P54" s="91" t="s">
        <v>199</v>
      </c>
      <c r="Q54" s="91" t="s">
        <v>226</v>
      </c>
      <c r="R54" s="90" t="s">
        <v>226</v>
      </c>
      <c r="S54" s="90" t="s">
        <v>226</v>
      </c>
      <c r="T54" s="90" t="s">
        <v>226</v>
      </c>
      <c r="U54" s="92" t="e">
        <f>SUM(INDEX([4]Weighting!$B$2:$C$40,MATCH(V$1,[4]Weighting!$A$2:$A$10,0),MATCH(V54,[4]Weighting!$B$1:$C$1,0)),INDEX([4]Weighting!$B$2:$C$40,MATCH(W$1,[4]Weighting!$A$2:$A$10,0),MATCH(W54,[4]Weighting!$B$1:$C$1,0)),INDEX([4]Weighting!$B$2:$C$40,MATCH(X$1,[4]Weighting!$A$2:$A$10,0),MATCH(X54,[4]Weighting!$B$1:$C$1,0)),INDEX([4]Weighting!$B$2:$C$40,MATCH(Y$1,[4]Weighting!$A$2:$A$10,0),MATCH(Y54,[4]Weighting!$B$1:$C$1,0)),INDEX([4]Weighting!$B$2:$C$40,MATCH(Z$1,[4]Weighting!$A$2:$A$10,0),MATCH(Z54,[4]Weighting!$B$1:$C$1,0)),INDEX([4]Weighting!$B$2:$C$40,MATCH(AA$1,[4]Weighting!$A$2:$A$10,0),MATCH(AA54,[4]Weighting!$B$1:$C$1,0)),INDEX([4]Weighting!$B$2:$C$40,MATCH(AB$1,[4]Weighting!$A$2:$A$10,0),MATCH(AB54,[4]Weighting!$B$1:$C$1,0)),INDEX([4]Weighting!$B$2:$C$40,MATCH(AC$1,[4]Weighting!$A$2:$A$10,0),MATCH(AC54,[4]Weighting!$B$1:$C$1,0)),INDEX([4]Weighting!$B$2:$C$40,MATCH(AD$1,[4]Weighting!$A$2:$A$10,0),MATCH(AD54,[4]Weighting!$B$1:$C$1,0)),VLOOKUP(J54,'[4]List table'!$C$2:$D$5,2,0))</f>
        <v>#N/A</v>
      </c>
      <c r="V54" s="75"/>
      <c r="W54" s="75"/>
      <c r="X54" s="75"/>
      <c r="Y54" s="75"/>
      <c r="Z54" s="75"/>
      <c r="AA54" s="75"/>
      <c r="AB54" s="75"/>
      <c r="AC54" s="75"/>
      <c r="AD54" s="75"/>
      <c r="AE54" s="75"/>
      <c r="AF54" s="75"/>
    </row>
    <row r="55" spans="1:33" ht="45" x14ac:dyDescent="0.25">
      <c r="A55" s="19" t="s">
        <v>141</v>
      </c>
      <c r="B55" s="20" t="s">
        <v>142</v>
      </c>
      <c r="C55" s="20" t="s">
        <v>313</v>
      </c>
      <c r="D55" s="18" t="s">
        <v>314</v>
      </c>
      <c r="E55" s="81" t="str">
        <f t="shared" si="1"/>
        <v>Ursula Iten-Mcgrath</v>
      </c>
      <c r="F55" s="81" t="s">
        <v>31</v>
      </c>
      <c r="G55" s="22" t="s">
        <v>126</v>
      </c>
      <c r="H55" s="20"/>
      <c r="I55" s="72" t="s">
        <v>315</v>
      </c>
      <c r="J55" s="22" t="s">
        <v>224</v>
      </c>
      <c r="K55" s="20" t="s">
        <v>226</v>
      </c>
      <c r="L55" s="20" t="s">
        <v>126</v>
      </c>
      <c r="M55" s="19" t="s">
        <v>199</v>
      </c>
      <c r="N55" s="19" t="s">
        <v>199</v>
      </c>
      <c r="O55" s="19" t="s">
        <v>226</v>
      </c>
      <c r="P55" s="15" t="s">
        <v>199</v>
      </c>
      <c r="Q55" s="15" t="s">
        <v>199</v>
      </c>
      <c r="R55" s="19" t="s">
        <v>226</v>
      </c>
      <c r="S55" s="19" t="s">
        <v>226</v>
      </c>
      <c r="T55" s="19" t="s">
        <v>199</v>
      </c>
      <c r="U55" s="21">
        <f>SUM(INDEX([4]Weighting!$B$2:$C$40,MATCH(V$1,[4]Weighting!$A$2:$A$10,0),MATCH(V55,[4]Weighting!$B$1:$C$1,0)),INDEX([4]Weighting!$B$2:$C$40,MATCH(W$1,[4]Weighting!$A$2:$A$10,0),MATCH(W55,[4]Weighting!$B$1:$C$1,0)),INDEX([4]Weighting!$B$2:$C$40,MATCH(X$1,[4]Weighting!$A$2:$A$10,0),MATCH(X55,[4]Weighting!$B$1:$C$1,0)),INDEX([4]Weighting!$B$2:$C$40,MATCH(Y$1,[4]Weighting!$A$2:$A$10,0),MATCH(Y55,[4]Weighting!$B$1:$C$1,0)),INDEX([4]Weighting!$B$2:$C$40,MATCH(Z$1,[4]Weighting!$A$2:$A$10,0),MATCH(Z55,[4]Weighting!$B$1:$C$1,0)),INDEX([4]Weighting!$B$2:$C$40,MATCH(AA$1,[4]Weighting!$A$2:$A$10,0),MATCH(AA55,[4]Weighting!$B$1:$C$1,0)),INDEX([4]Weighting!$B$2:$C$40,MATCH(AB$1,[4]Weighting!$A$2:$A$10,0),MATCH(AB55,[4]Weighting!$B$1:$C$1,0)),INDEX([4]Weighting!$B$2:$C$40,MATCH(AC$1,[4]Weighting!$A$2:$A$10,0),MATCH(AC55,[4]Weighting!$B$1:$C$1,0)),INDEX([4]Weighting!$B$2:$C$40,MATCH(AD$1,[4]Weighting!$A$2:$A$10,0),MATCH(AD55,[4]Weighting!$B$1:$C$1,0)),VLOOKUP(J55,'[4]List table'!$C$2:$D$5,2,0))</f>
        <v>13</v>
      </c>
      <c r="V55" s="22" t="s">
        <v>199</v>
      </c>
      <c r="W55" s="44" t="s">
        <v>199</v>
      </c>
      <c r="X55" s="44" t="s">
        <v>199</v>
      </c>
      <c r="Y55" s="22" t="s">
        <v>226</v>
      </c>
      <c r="Z55" s="22" t="s">
        <v>435</v>
      </c>
      <c r="AA55" s="22" t="s">
        <v>226</v>
      </c>
      <c r="AB55" s="22" t="s">
        <v>199</v>
      </c>
      <c r="AC55" s="22" t="s">
        <v>199</v>
      </c>
      <c r="AD55" s="22" t="s">
        <v>199</v>
      </c>
      <c r="AE55" s="22" t="s">
        <v>226</v>
      </c>
      <c r="AF55" s="22"/>
      <c r="AG55" s="24" t="s">
        <v>316</v>
      </c>
    </row>
    <row r="56" spans="1:33" s="53" customFormat="1" ht="45" x14ac:dyDescent="0.25">
      <c r="A56" s="34" t="s">
        <v>143</v>
      </c>
      <c r="B56" s="65" t="s">
        <v>144</v>
      </c>
      <c r="C56" s="43" t="s">
        <v>317</v>
      </c>
      <c r="D56" s="18" t="s">
        <v>318</v>
      </c>
      <c r="E56" s="81" t="str">
        <f t="shared" si="1"/>
        <v>David Frank</v>
      </c>
      <c r="F56" s="81" t="s">
        <v>31</v>
      </c>
      <c r="G56" s="25" t="s">
        <v>145</v>
      </c>
      <c r="H56" s="43"/>
      <c r="I56" s="25" t="s">
        <v>224</v>
      </c>
      <c r="J56" s="25" t="s">
        <v>224</v>
      </c>
      <c r="K56" s="43" t="s">
        <v>226</v>
      </c>
      <c r="L56" s="43" t="s">
        <v>126</v>
      </c>
      <c r="M56" s="34" t="s">
        <v>199</v>
      </c>
      <c r="N56" s="34" t="s">
        <v>199</v>
      </c>
      <c r="O56" s="34" t="s">
        <v>226</v>
      </c>
      <c r="P56" s="51" t="s">
        <v>199</v>
      </c>
      <c r="Q56" s="51" t="s">
        <v>199</v>
      </c>
      <c r="R56" s="34" t="s">
        <v>226</v>
      </c>
      <c r="S56" s="34" t="s">
        <v>226</v>
      </c>
      <c r="T56" s="34" t="s">
        <v>199</v>
      </c>
      <c r="U56" s="52">
        <f>SUM(INDEX([4]Weighting!$B$2:$C$40,MATCH(V$1,[4]Weighting!$A$2:$A$10,0),MATCH(V56,[4]Weighting!$B$1:$C$1,0)),INDEX([4]Weighting!$B$2:$C$40,MATCH(W$1,[4]Weighting!$A$2:$A$10,0),MATCH(W56,[4]Weighting!$B$1:$C$1,0)),INDEX([4]Weighting!$B$2:$C$40,MATCH(X$1,[4]Weighting!$A$2:$A$10,0),MATCH(X56,[4]Weighting!$B$1:$C$1,0)),INDEX([4]Weighting!$B$2:$C$40,MATCH(Y$1,[4]Weighting!$A$2:$A$10,0),MATCH(Y56,[4]Weighting!$B$1:$C$1,0)),INDEX([4]Weighting!$B$2:$C$40,MATCH(Z$1,[4]Weighting!$A$2:$A$10,0),MATCH(Z56,[4]Weighting!$B$1:$C$1,0)),INDEX([4]Weighting!$B$2:$C$40,MATCH(AA$1,[4]Weighting!$A$2:$A$10,0),MATCH(AA56,[4]Weighting!$B$1:$C$1,0)),INDEX([4]Weighting!$B$2:$C$40,MATCH(AB$1,[4]Weighting!$A$2:$A$10,0),MATCH(AB56,[4]Weighting!$B$1:$C$1,0)),INDEX([4]Weighting!$B$2:$C$40,MATCH(AC$1,[4]Weighting!$A$2:$A$10,0),MATCH(AC56,[4]Weighting!$B$1:$C$1,0)),INDEX([4]Weighting!$B$2:$C$40,MATCH(AD$1,[4]Weighting!$A$2:$A$10,0),MATCH(AD56,[4]Weighting!$B$1:$C$1,0)),VLOOKUP(J56,'[4]List table'!$C$2:$D$5,2,0))</f>
        <v>13</v>
      </c>
      <c r="V56" s="25" t="s">
        <v>199</v>
      </c>
      <c r="W56" s="66" t="s">
        <v>199</v>
      </c>
      <c r="X56" s="66" t="s">
        <v>199</v>
      </c>
      <c r="Y56" s="25" t="s">
        <v>226</v>
      </c>
      <c r="Z56" s="25" t="s">
        <v>435</v>
      </c>
      <c r="AA56" s="25" t="s">
        <v>226</v>
      </c>
      <c r="AB56" s="25" t="s">
        <v>199</v>
      </c>
      <c r="AC56" s="25" t="s">
        <v>199</v>
      </c>
      <c r="AD56" s="25" t="s">
        <v>199</v>
      </c>
      <c r="AE56" s="25" t="s">
        <v>226</v>
      </c>
      <c r="AF56" s="25"/>
      <c r="AG56" s="53" t="s">
        <v>319</v>
      </c>
    </row>
    <row r="57" spans="1:33" s="53" customFormat="1" ht="45" x14ac:dyDescent="0.25">
      <c r="A57" s="67" t="s">
        <v>146</v>
      </c>
      <c r="B57" s="65" t="s">
        <v>147</v>
      </c>
      <c r="C57" s="43" t="s">
        <v>320</v>
      </c>
      <c r="D57" s="18" t="s">
        <v>321</v>
      </c>
      <c r="E57" s="81" t="str">
        <f t="shared" si="1"/>
        <v>Jelena Cokorilo</v>
      </c>
      <c r="F57" s="81" t="s">
        <v>7</v>
      </c>
      <c r="G57" s="65" t="s">
        <v>147</v>
      </c>
      <c r="H57" s="43"/>
      <c r="I57" s="25"/>
      <c r="J57" s="25"/>
      <c r="K57" s="43"/>
      <c r="L57" s="43"/>
      <c r="M57" s="34"/>
      <c r="N57" s="34"/>
      <c r="O57" s="34"/>
      <c r="P57" s="51"/>
      <c r="Q57" s="51"/>
      <c r="R57" s="34"/>
      <c r="S57" s="34"/>
      <c r="T57" s="34"/>
      <c r="U57" s="52"/>
      <c r="V57" s="25"/>
      <c r="W57" s="66"/>
      <c r="X57" s="66"/>
      <c r="Y57" s="25"/>
      <c r="Z57" s="25"/>
      <c r="AA57" s="25"/>
      <c r="AB57" s="25"/>
      <c r="AC57" s="25"/>
      <c r="AD57" s="25"/>
      <c r="AE57" s="25"/>
      <c r="AF57" s="25"/>
      <c r="AG57" s="27" t="s">
        <v>322</v>
      </c>
    </row>
    <row r="58" spans="1:33" ht="30" x14ac:dyDescent="0.25">
      <c r="A58" s="68" t="s">
        <v>148</v>
      </c>
      <c r="B58" s="20" t="s">
        <v>149</v>
      </c>
      <c r="C58" s="43" t="s">
        <v>323</v>
      </c>
      <c r="D58" s="73" t="s">
        <v>324</v>
      </c>
      <c r="E58" s="87" t="str">
        <f t="shared" si="1"/>
        <v>Mimi Xue</v>
      </c>
      <c r="F58" s="87" t="s">
        <v>14</v>
      </c>
      <c r="G58" s="18" t="s">
        <v>23</v>
      </c>
      <c r="H58" s="20"/>
      <c r="I58" s="22"/>
      <c r="J58" s="22"/>
      <c r="K58" s="20"/>
      <c r="L58" s="20"/>
      <c r="M58" s="19"/>
      <c r="N58" s="19"/>
      <c r="O58" s="19"/>
      <c r="P58" s="15"/>
      <c r="Q58" s="15"/>
      <c r="R58" s="19"/>
      <c r="S58" s="19"/>
      <c r="T58" s="19"/>
      <c r="U58" s="21"/>
      <c r="V58" s="22"/>
      <c r="W58" s="44"/>
      <c r="X58" s="44"/>
      <c r="Y58" s="22"/>
      <c r="Z58" s="22"/>
      <c r="AA58" s="22"/>
      <c r="AB58" s="22"/>
      <c r="AC58" s="22"/>
      <c r="AD58" s="22"/>
      <c r="AE58" s="22"/>
      <c r="AF58" s="22"/>
    </row>
    <row r="59" spans="1:33" ht="45" x14ac:dyDescent="0.25">
      <c r="A59" s="68" t="s">
        <v>150</v>
      </c>
      <c r="B59" s="20" t="s">
        <v>151</v>
      </c>
      <c r="C59" s="43" t="s">
        <v>325</v>
      </c>
      <c r="D59" s="73" t="s">
        <v>326</v>
      </c>
      <c r="E59" s="87" t="str">
        <f t="shared" si="1"/>
        <v>Mimi Xue</v>
      </c>
      <c r="F59" s="87" t="s">
        <v>14</v>
      </c>
      <c r="G59" s="18" t="s">
        <v>23</v>
      </c>
      <c r="H59" s="20"/>
      <c r="I59" s="22"/>
      <c r="J59" s="22"/>
      <c r="K59" s="20"/>
      <c r="L59" s="20"/>
      <c r="M59" s="19"/>
      <c r="N59" s="19"/>
      <c r="O59" s="19"/>
      <c r="P59" s="15"/>
      <c r="Q59" s="15"/>
      <c r="R59" s="19"/>
      <c r="S59" s="19"/>
      <c r="T59" s="19"/>
      <c r="U59" s="21"/>
      <c r="V59" s="22"/>
      <c r="W59" s="44"/>
      <c r="X59" s="44"/>
      <c r="Y59" s="22"/>
      <c r="Z59" s="22"/>
      <c r="AA59" s="22"/>
      <c r="AB59" s="22"/>
      <c r="AC59" s="22"/>
      <c r="AD59" s="22"/>
      <c r="AE59" s="22"/>
      <c r="AF59" s="22"/>
    </row>
    <row r="60" spans="1:33" s="53" customFormat="1" ht="105" x14ac:dyDescent="0.25">
      <c r="A60" s="67" t="s">
        <v>152</v>
      </c>
      <c r="B60" s="43" t="s">
        <v>153</v>
      </c>
      <c r="C60" s="43" t="s">
        <v>327</v>
      </c>
      <c r="D60" s="18" t="s">
        <v>328</v>
      </c>
      <c r="E60" s="81" t="str">
        <f t="shared" si="1"/>
        <v>Shan-shan Bian</v>
      </c>
      <c r="F60" s="81" t="s">
        <v>154</v>
      </c>
      <c r="G60" s="25" t="s">
        <v>155</v>
      </c>
      <c r="H60" s="43"/>
      <c r="I60" s="25" t="s">
        <v>329</v>
      </c>
      <c r="J60" s="25"/>
      <c r="K60" s="43"/>
      <c r="L60" s="43"/>
      <c r="M60" s="34"/>
      <c r="N60" s="34"/>
      <c r="O60" s="34"/>
      <c r="P60" s="51"/>
      <c r="Q60" s="51"/>
      <c r="R60" s="34"/>
      <c r="S60" s="34"/>
      <c r="T60" s="34"/>
      <c r="U60" s="52"/>
      <c r="V60" s="25"/>
      <c r="W60" s="66"/>
      <c r="X60" s="66"/>
      <c r="Y60" s="25"/>
      <c r="Z60" s="25"/>
      <c r="AA60" s="25"/>
      <c r="AB60" s="25"/>
      <c r="AC60" s="25"/>
      <c r="AD60" s="25"/>
      <c r="AE60" s="25"/>
      <c r="AF60" s="25"/>
      <c r="AG60" s="53" t="s">
        <v>330</v>
      </c>
    </row>
    <row r="61" spans="1:33" s="53" customFormat="1" ht="30" x14ac:dyDescent="0.25">
      <c r="A61" s="67" t="s">
        <v>156</v>
      </c>
      <c r="B61" s="43" t="s">
        <v>157</v>
      </c>
      <c r="C61" s="43"/>
      <c r="D61" s="18" t="s">
        <v>331</v>
      </c>
      <c r="E61" s="81" t="str">
        <f t="shared" si="1"/>
        <v>Shan-shan Bian</v>
      </c>
      <c r="F61" s="81" t="s">
        <v>154</v>
      </c>
      <c r="G61" s="25" t="s">
        <v>155</v>
      </c>
      <c r="H61" s="43"/>
      <c r="I61" s="25" t="s">
        <v>329</v>
      </c>
      <c r="J61" s="25"/>
      <c r="K61" s="43"/>
      <c r="L61" s="43"/>
      <c r="M61" s="34"/>
      <c r="N61" s="34"/>
      <c r="O61" s="34"/>
      <c r="P61" s="51"/>
      <c r="Q61" s="51"/>
      <c r="R61" s="34"/>
      <c r="S61" s="34"/>
      <c r="T61" s="34"/>
      <c r="U61" s="52"/>
      <c r="V61" s="25"/>
      <c r="W61" s="66"/>
      <c r="X61" s="66"/>
      <c r="Y61" s="25"/>
      <c r="Z61" s="25"/>
      <c r="AA61" s="25"/>
      <c r="AB61" s="25"/>
      <c r="AC61" s="25"/>
      <c r="AD61" s="25"/>
      <c r="AE61" s="25"/>
      <c r="AF61" s="25"/>
      <c r="AG61" s="53" t="s">
        <v>332</v>
      </c>
    </row>
    <row r="62" spans="1:33" s="53" customFormat="1" ht="30" x14ac:dyDescent="0.25">
      <c r="A62" s="67" t="s">
        <v>158</v>
      </c>
      <c r="B62" s="43" t="s">
        <v>159</v>
      </c>
      <c r="C62" s="43"/>
      <c r="D62" s="18" t="s">
        <v>333</v>
      </c>
      <c r="E62" s="81" t="str">
        <f t="shared" si="1"/>
        <v>Shan-shan Bian</v>
      </c>
      <c r="F62" s="81" t="s">
        <v>154</v>
      </c>
      <c r="G62" s="25" t="s">
        <v>155</v>
      </c>
      <c r="H62" s="43"/>
      <c r="I62" s="25" t="s">
        <v>329</v>
      </c>
      <c r="J62" s="25"/>
      <c r="K62" s="43"/>
      <c r="L62" s="43"/>
      <c r="M62" s="34"/>
      <c r="N62" s="34"/>
      <c r="O62" s="34"/>
      <c r="P62" s="51"/>
      <c r="Q62" s="51"/>
      <c r="R62" s="34"/>
      <c r="S62" s="34"/>
      <c r="T62" s="34"/>
      <c r="U62" s="52"/>
      <c r="V62" s="25"/>
      <c r="W62" s="66"/>
      <c r="X62" s="66"/>
      <c r="Y62" s="25"/>
      <c r="Z62" s="25"/>
      <c r="AA62" s="25"/>
      <c r="AB62" s="25"/>
      <c r="AC62" s="25"/>
      <c r="AD62" s="25"/>
      <c r="AE62" s="25"/>
      <c r="AF62" s="25"/>
      <c r="AG62" s="53" t="s">
        <v>334</v>
      </c>
    </row>
    <row r="63" spans="1:33" s="53" customFormat="1" ht="120" x14ac:dyDescent="0.25">
      <c r="A63" s="67" t="s">
        <v>160</v>
      </c>
      <c r="B63" s="43" t="s">
        <v>161</v>
      </c>
      <c r="C63" s="43" t="s">
        <v>335</v>
      </c>
      <c r="D63" s="18" t="s">
        <v>328</v>
      </c>
      <c r="E63" s="81" t="str">
        <f t="shared" si="1"/>
        <v>Shan-shan Bian</v>
      </c>
      <c r="F63" s="81" t="s">
        <v>154</v>
      </c>
      <c r="G63" s="25" t="s">
        <v>155</v>
      </c>
      <c r="H63" s="43"/>
      <c r="I63" s="25" t="s">
        <v>329</v>
      </c>
      <c r="J63" s="25"/>
      <c r="K63" s="43"/>
      <c r="L63" s="43"/>
      <c r="M63" s="34"/>
      <c r="N63" s="34"/>
      <c r="O63" s="34"/>
      <c r="P63" s="51"/>
      <c r="Q63" s="51"/>
      <c r="R63" s="34"/>
      <c r="S63" s="34"/>
      <c r="T63" s="34"/>
      <c r="U63" s="52"/>
      <c r="V63" s="25"/>
      <c r="W63" s="66"/>
      <c r="X63" s="66"/>
      <c r="Y63" s="25"/>
      <c r="Z63" s="25"/>
      <c r="AA63" s="25"/>
      <c r="AB63" s="25"/>
      <c r="AC63" s="25"/>
      <c r="AD63" s="25"/>
      <c r="AE63" s="25"/>
      <c r="AF63" s="25"/>
      <c r="AG63" s="53" t="s">
        <v>336</v>
      </c>
    </row>
    <row r="64" spans="1:33" s="53" customFormat="1" ht="60" x14ac:dyDescent="0.25">
      <c r="A64" s="67" t="s">
        <v>162</v>
      </c>
      <c r="B64" s="43" t="s">
        <v>163</v>
      </c>
      <c r="C64" s="43" t="s">
        <v>337</v>
      </c>
      <c r="D64" s="18" t="s">
        <v>338</v>
      </c>
      <c r="E64" s="81" t="str">
        <f t="shared" si="1"/>
        <v>David Frank</v>
      </c>
      <c r="F64" s="81" t="s">
        <v>14</v>
      </c>
      <c r="G64" s="25" t="s">
        <v>145</v>
      </c>
      <c r="H64" s="43"/>
      <c r="I64" s="25"/>
      <c r="J64" s="25"/>
      <c r="K64" s="43"/>
      <c r="L64" s="43"/>
      <c r="M64" s="34"/>
      <c r="N64" s="34"/>
      <c r="O64" s="34"/>
      <c r="P64" s="51"/>
      <c r="Q64" s="51"/>
      <c r="R64" s="34"/>
      <c r="S64" s="34"/>
      <c r="T64" s="34"/>
      <c r="U64" s="52"/>
      <c r="V64" s="25"/>
      <c r="W64" s="66"/>
      <c r="X64" s="66"/>
      <c r="Y64" s="25"/>
      <c r="Z64" s="25"/>
      <c r="AA64" s="25"/>
      <c r="AB64" s="25"/>
      <c r="AC64" s="25"/>
      <c r="AD64" s="25"/>
      <c r="AE64" s="25"/>
      <c r="AF64" s="25"/>
    </row>
    <row r="65" spans="1:33" s="53" customFormat="1" ht="30" x14ac:dyDescent="0.25">
      <c r="A65" s="67" t="s">
        <v>164</v>
      </c>
      <c r="B65" s="43" t="s">
        <v>165</v>
      </c>
      <c r="C65" s="43" t="s">
        <v>339</v>
      </c>
      <c r="D65" s="18" t="s">
        <v>340</v>
      </c>
      <c r="E65" s="81" t="str">
        <f t="shared" si="1"/>
        <v>David Frank</v>
      </c>
      <c r="F65" s="81" t="s">
        <v>14</v>
      </c>
      <c r="G65" s="25" t="s">
        <v>145</v>
      </c>
      <c r="H65" s="43"/>
      <c r="I65" s="25"/>
      <c r="J65" s="25"/>
      <c r="K65" s="43"/>
      <c r="L65" s="43"/>
      <c r="M65" s="34"/>
      <c r="N65" s="34"/>
      <c r="O65" s="34"/>
      <c r="P65" s="51"/>
      <c r="Q65" s="51"/>
      <c r="R65" s="34"/>
      <c r="S65" s="34"/>
      <c r="T65" s="34"/>
      <c r="U65" s="52"/>
      <c r="V65" s="25"/>
      <c r="W65" s="66"/>
      <c r="X65" s="66"/>
      <c r="Y65" s="25"/>
      <c r="Z65" s="25"/>
      <c r="AA65" s="25"/>
      <c r="AB65" s="25"/>
      <c r="AC65" s="25"/>
      <c r="AD65" s="25"/>
      <c r="AE65" s="25"/>
      <c r="AF65" s="25"/>
    </row>
    <row r="66" spans="1:33" s="53" customFormat="1" ht="45" x14ac:dyDescent="0.25">
      <c r="A66" s="67" t="s">
        <v>166</v>
      </c>
      <c r="B66" s="43" t="s">
        <v>167</v>
      </c>
      <c r="C66" s="43" t="s">
        <v>341</v>
      </c>
      <c r="D66" s="18" t="s">
        <v>342</v>
      </c>
      <c r="E66" s="81" t="str">
        <f t="shared" si="1"/>
        <v>Jelena Cokorilo</v>
      </c>
      <c r="F66" s="81" t="s">
        <v>7</v>
      </c>
      <c r="G66" s="25" t="s">
        <v>168</v>
      </c>
      <c r="H66" s="43"/>
      <c r="I66" s="25"/>
      <c r="J66" s="25"/>
      <c r="K66" s="43"/>
      <c r="L66" s="43"/>
      <c r="M66" s="34"/>
      <c r="N66" s="34"/>
      <c r="O66" s="34"/>
      <c r="P66" s="51"/>
      <c r="Q66" s="51"/>
      <c r="R66" s="34"/>
      <c r="S66" s="34"/>
      <c r="T66" s="34"/>
      <c r="U66" s="52"/>
      <c r="V66" s="25"/>
      <c r="W66" s="66"/>
      <c r="X66" s="66"/>
      <c r="Y66" s="25"/>
      <c r="Z66" s="25"/>
      <c r="AA66" s="25"/>
      <c r="AB66" s="25"/>
      <c r="AC66" s="25"/>
      <c r="AD66" s="25"/>
      <c r="AE66" s="25"/>
      <c r="AF66" s="25"/>
      <c r="AG66" s="53" t="s">
        <v>343</v>
      </c>
    </row>
    <row r="67" spans="1:33" s="53" customFormat="1" ht="69.75" customHeight="1" x14ac:dyDescent="0.25">
      <c r="A67" s="67" t="s">
        <v>169</v>
      </c>
      <c r="B67" s="43" t="s">
        <v>170</v>
      </c>
      <c r="C67" s="43" t="s">
        <v>344</v>
      </c>
      <c r="D67" s="18" t="s">
        <v>345</v>
      </c>
      <c r="E67" s="81" t="str">
        <f t="shared" ref="E67:E98" si="2">IF(D67="","",TRIM(IFERROR(_xlfn.TEXTBEFORE(D67,","),D67)))</f>
        <v>Feroz Nasirudin</v>
      </c>
      <c r="F67" s="81" t="s">
        <v>31</v>
      </c>
      <c r="G67" s="25" t="s">
        <v>171</v>
      </c>
      <c r="H67" s="43"/>
      <c r="I67" s="25" t="s">
        <v>346</v>
      </c>
      <c r="J67" s="25"/>
      <c r="K67" s="43"/>
      <c r="L67" s="43"/>
      <c r="M67" s="34"/>
      <c r="N67" s="34"/>
      <c r="O67" s="34"/>
      <c r="P67" s="51"/>
      <c r="Q67" s="51"/>
      <c r="R67" s="34"/>
      <c r="S67" s="34"/>
      <c r="T67" s="34"/>
      <c r="U67" s="52"/>
      <c r="V67" s="25"/>
      <c r="W67" s="66"/>
      <c r="X67" s="66"/>
      <c r="Y67" s="25"/>
      <c r="Z67" s="25"/>
      <c r="AA67" s="25"/>
      <c r="AB67" s="25"/>
      <c r="AC67" s="25"/>
      <c r="AD67" s="25"/>
      <c r="AE67" s="25"/>
      <c r="AF67" s="25"/>
      <c r="AG67" s="27" t="s">
        <v>347</v>
      </c>
    </row>
    <row r="68" spans="1:33" s="53" customFormat="1" ht="40.9" customHeight="1" x14ac:dyDescent="0.25">
      <c r="A68" s="51" t="s">
        <v>172</v>
      </c>
      <c r="B68" s="43" t="s">
        <v>97</v>
      </c>
      <c r="C68" s="43" t="s">
        <v>267</v>
      </c>
      <c r="D68" s="30" t="s">
        <v>272</v>
      </c>
      <c r="E68" s="80" t="str">
        <f t="shared" si="2"/>
        <v>Yvonne Chang</v>
      </c>
      <c r="F68" s="80" t="s">
        <v>94</v>
      </c>
      <c r="G68" s="43" t="s">
        <v>95</v>
      </c>
      <c r="H68" s="43" t="s">
        <v>390</v>
      </c>
      <c r="I68" s="17"/>
      <c r="J68" s="20" t="s">
        <v>224</v>
      </c>
      <c r="K68" s="43" t="s">
        <v>226</v>
      </c>
      <c r="L68" s="43" t="s">
        <v>97</v>
      </c>
      <c r="M68" s="51"/>
      <c r="N68" s="51"/>
      <c r="O68" s="51"/>
      <c r="P68" s="51" t="s">
        <v>199</v>
      </c>
      <c r="Q68" s="51" t="s">
        <v>199</v>
      </c>
      <c r="R68" s="51"/>
      <c r="S68" s="51"/>
      <c r="T68" s="51"/>
      <c r="U68" s="52">
        <f>SUM(INDEX([4]Weighting!$B$2:$C$40,MATCH(V$1,[4]Weighting!$A$2:$A$10,0),MATCH(V68,[4]Weighting!$B$1:$C$1,0)),INDEX([4]Weighting!$B$2:$C$40,MATCH(W$1,[4]Weighting!$A$2:$A$10,0),MATCH(W68,[4]Weighting!$B$1:$C$1,0)),INDEX([4]Weighting!$B$2:$C$40,MATCH(X$1,[4]Weighting!$A$2:$A$10,0),MATCH(X68,[4]Weighting!$B$1:$C$1,0)),INDEX([4]Weighting!$B$2:$C$40,MATCH(Y$1,[4]Weighting!$A$2:$A$10,0),MATCH(Y68,[4]Weighting!$B$1:$C$1,0)),INDEX([4]Weighting!$B$2:$C$40,MATCH(Z$1,[4]Weighting!$A$2:$A$10,0),MATCH(Z68,[4]Weighting!$B$1:$C$1,0)),INDEX([4]Weighting!$B$2:$C$40,MATCH(AA$1,[4]Weighting!$A$2:$A$10,0),MATCH(AA68,[4]Weighting!$B$1:$C$1,0)),INDEX([4]Weighting!$B$2:$C$40,MATCH(AB$1,[4]Weighting!$A$2:$A$10,0),MATCH(AB68,[4]Weighting!$B$1:$C$1,0)),INDEX([4]Weighting!$B$2:$C$40,MATCH(AC$1,[4]Weighting!$A$2:$A$10,0),MATCH(AC68,[4]Weighting!$B$1:$C$1,0)),INDEX([4]Weighting!$B$2:$C$40,MATCH(AD$1,[4]Weighting!$A$2:$A$10,0),MATCH(AD68,[4]Weighting!$B$1:$C$1,0)),VLOOKUP(J68,'[4]List table'!$C$2:$D$5,2,0))</f>
        <v>8</v>
      </c>
      <c r="V68" s="25" t="s">
        <v>199</v>
      </c>
      <c r="W68" s="25" t="s">
        <v>226</v>
      </c>
      <c r="X68" s="25" t="s">
        <v>226</v>
      </c>
      <c r="Y68" s="25" t="s">
        <v>226</v>
      </c>
      <c r="Z68" s="25" t="s">
        <v>226</v>
      </c>
      <c r="AA68" s="25" t="s">
        <v>226</v>
      </c>
      <c r="AB68" s="25" t="s">
        <v>226</v>
      </c>
      <c r="AC68" s="25" t="s">
        <v>226</v>
      </c>
      <c r="AD68" s="25" t="s">
        <v>199</v>
      </c>
      <c r="AE68" s="25" t="s">
        <v>226</v>
      </c>
      <c r="AF68" s="25"/>
      <c r="AG68" s="53" t="s">
        <v>348</v>
      </c>
    </row>
    <row r="69" spans="1:33" s="53" customFormat="1" ht="30" x14ac:dyDescent="0.25">
      <c r="A69" s="67" t="s">
        <v>173</v>
      </c>
      <c r="B69" s="43" t="s">
        <v>174</v>
      </c>
      <c r="C69" s="43" t="s">
        <v>349</v>
      </c>
      <c r="D69" s="30" t="s">
        <v>350</v>
      </c>
      <c r="E69" s="80" t="str">
        <f t="shared" si="2"/>
        <v>Yvonne Chang</v>
      </c>
      <c r="F69" s="80" t="s">
        <v>94</v>
      </c>
      <c r="G69" s="25" t="s">
        <v>95</v>
      </c>
      <c r="H69" s="43"/>
      <c r="I69" s="25" t="s">
        <v>351</v>
      </c>
      <c r="J69" s="25"/>
      <c r="K69" s="43"/>
      <c r="L69" s="43"/>
      <c r="M69" s="34"/>
      <c r="N69" s="34"/>
      <c r="O69" s="34"/>
      <c r="P69" s="51"/>
      <c r="Q69" s="51"/>
      <c r="R69" s="34"/>
      <c r="S69" s="34"/>
      <c r="T69" s="34"/>
      <c r="U69" s="52"/>
      <c r="V69" s="25"/>
      <c r="W69" s="66"/>
      <c r="X69" s="66"/>
      <c r="Y69" s="25"/>
      <c r="Z69" s="25"/>
      <c r="AA69" s="25"/>
      <c r="AB69" s="25"/>
      <c r="AC69" s="25"/>
      <c r="AD69" s="25"/>
      <c r="AE69" s="25"/>
      <c r="AF69" s="25"/>
      <c r="AG69" s="27" t="s">
        <v>352</v>
      </c>
    </row>
    <row r="70" spans="1:33" s="53" customFormat="1" ht="30" x14ac:dyDescent="0.25">
      <c r="A70" s="67" t="s">
        <v>175</v>
      </c>
      <c r="B70" s="43" t="s">
        <v>176</v>
      </c>
      <c r="C70" s="43" t="s">
        <v>353</v>
      </c>
      <c r="D70" s="30" t="s">
        <v>354</v>
      </c>
      <c r="E70" s="80" t="str">
        <f t="shared" si="2"/>
        <v>Yvonne Chang</v>
      </c>
      <c r="F70" s="80" t="s">
        <v>94</v>
      </c>
      <c r="G70" s="25" t="s">
        <v>95</v>
      </c>
      <c r="H70" s="43"/>
      <c r="I70" s="25"/>
      <c r="J70" s="25"/>
      <c r="K70" s="43"/>
      <c r="L70" s="43"/>
      <c r="M70" s="34"/>
      <c r="N70" s="34"/>
      <c r="O70" s="34"/>
      <c r="P70" s="51"/>
      <c r="Q70" s="51"/>
      <c r="R70" s="34"/>
      <c r="S70" s="34"/>
      <c r="T70" s="34"/>
      <c r="U70" s="52"/>
      <c r="V70" s="25"/>
      <c r="W70" s="66"/>
      <c r="X70" s="66"/>
      <c r="Y70" s="25"/>
      <c r="Z70" s="25"/>
      <c r="AA70" s="25"/>
      <c r="AB70" s="25"/>
      <c r="AC70" s="25"/>
      <c r="AD70" s="25"/>
      <c r="AE70" s="25"/>
      <c r="AF70" s="25"/>
      <c r="AG70" s="53" t="s">
        <v>355</v>
      </c>
    </row>
    <row r="71" spans="1:33" s="53" customFormat="1" ht="30" x14ac:dyDescent="0.25">
      <c r="A71" s="67" t="s">
        <v>177</v>
      </c>
      <c r="B71" s="43" t="s">
        <v>178</v>
      </c>
      <c r="C71" s="43" t="s">
        <v>178</v>
      </c>
      <c r="D71" s="30" t="s">
        <v>354</v>
      </c>
      <c r="E71" s="80" t="str">
        <f t="shared" si="2"/>
        <v>Yvonne Chang</v>
      </c>
      <c r="F71" s="80" t="s">
        <v>94</v>
      </c>
      <c r="G71" s="25" t="s">
        <v>95</v>
      </c>
      <c r="H71" s="43"/>
      <c r="I71" s="25"/>
      <c r="J71" s="25"/>
      <c r="K71" s="43"/>
      <c r="L71" s="43"/>
      <c r="M71" s="34"/>
      <c r="N71" s="34"/>
      <c r="O71" s="34"/>
      <c r="P71" s="51"/>
      <c r="Q71" s="51"/>
      <c r="R71" s="34"/>
      <c r="S71" s="34"/>
      <c r="T71" s="34"/>
      <c r="U71" s="52"/>
      <c r="V71" s="25"/>
      <c r="W71" s="66"/>
      <c r="X71" s="66"/>
      <c r="Y71" s="25"/>
      <c r="Z71" s="25"/>
      <c r="AA71" s="25"/>
      <c r="AB71" s="25"/>
      <c r="AC71" s="25"/>
      <c r="AD71" s="25"/>
      <c r="AE71" s="25"/>
      <c r="AF71" s="25"/>
      <c r="AG71" s="53" t="s">
        <v>356</v>
      </c>
    </row>
    <row r="72" spans="1:33" s="53" customFormat="1" ht="75" x14ac:dyDescent="0.25">
      <c r="A72" s="67" t="s">
        <v>179</v>
      </c>
      <c r="B72" s="43" t="s">
        <v>180</v>
      </c>
      <c r="C72" s="43" t="s">
        <v>357</v>
      </c>
      <c r="D72" s="18" t="s">
        <v>358</v>
      </c>
      <c r="E72" s="81" t="str">
        <f t="shared" si="2"/>
        <v>David Frank</v>
      </c>
      <c r="F72" s="81" t="s">
        <v>14</v>
      </c>
      <c r="G72" s="25" t="s">
        <v>95</v>
      </c>
      <c r="H72" s="43"/>
      <c r="I72" s="25" t="s">
        <v>359</v>
      </c>
      <c r="J72" s="25"/>
      <c r="K72" s="43"/>
      <c r="L72" s="43"/>
      <c r="M72" s="34"/>
      <c r="N72" s="34"/>
      <c r="O72" s="34"/>
      <c r="P72" s="51"/>
      <c r="Q72" s="51"/>
      <c r="R72" s="34"/>
      <c r="S72" s="34"/>
      <c r="T72" s="34"/>
      <c r="U72" s="52"/>
      <c r="V72" s="25"/>
      <c r="W72" s="66"/>
      <c r="X72" s="66"/>
      <c r="Y72" s="25"/>
      <c r="Z72" s="25"/>
      <c r="AA72" s="25"/>
      <c r="AB72" s="25"/>
      <c r="AC72" s="25"/>
      <c r="AD72" s="25"/>
      <c r="AE72" s="25"/>
      <c r="AF72" s="25"/>
      <c r="AG72" s="53" t="s">
        <v>360</v>
      </c>
    </row>
    <row r="73" spans="1:33" s="53" customFormat="1" ht="105" x14ac:dyDescent="0.25">
      <c r="A73" s="67" t="s">
        <v>181</v>
      </c>
      <c r="B73" s="43" t="s">
        <v>182</v>
      </c>
      <c r="C73" s="43" t="s">
        <v>361</v>
      </c>
      <c r="D73" s="18" t="s">
        <v>362</v>
      </c>
      <c r="E73" s="81" t="str">
        <f t="shared" si="2"/>
        <v>Nicki Bricker</v>
      </c>
      <c r="F73" s="81" t="s">
        <v>37</v>
      </c>
      <c r="G73" s="25" t="s">
        <v>38</v>
      </c>
      <c r="H73" s="43"/>
      <c r="I73" s="25" t="s">
        <v>363</v>
      </c>
      <c r="J73" s="25"/>
      <c r="K73" s="43"/>
      <c r="L73" s="43"/>
      <c r="M73" s="34"/>
      <c r="N73" s="34"/>
      <c r="O73" s="34"/>
      <c r="P73" s="51"/>
      <c r="Q73" s="51"/>
      <c r="R73" s="34"/>
      <c r="S73" s="34"/>
      <c r="T73" s="34"/>
      <c r="U73" s="52"/>
      <c r="V73" s="25"/>
      <c r="W73" s="66"/>
      <c r="X73" s="66"/>
      <c r="Y73" s="25"/>
      <c r="Z73" s="25"/>
      <c r="AA73" s="25"/>
      <c r="AB73" s="25"/>
      <c r="AC73" s="25"/>
      <c r="AD73" s="25"/>
      <c r="AE73" s="25"/>
      <c r="AF73" s="25"/>
      <c r="AG73" s="27" t="s">
        <v>364</v>
      </c>
    </row>
    <row r="74" spans="1:33" x14ac:dyDescent="0.25">
      <c r="A74" s="68" t="s">
        <v>391</v>
      </c>
      <c r="B74" s="20"/>
      <c r="C74" s="20"/>
      <c r="D74" s="73"/>
      <c r="E74" s="87" t="str">
        <f t="shared" si="2"/>
        <v/>
      </c>
      <c r="F74" s="87"/>
      <c r="G74" s="22"/>
      <c r="H74" s="20"/>
      <c r="I74" s="22"/>
      <c r="J74" s="22"/>
      <c r="K74" s="20"/>
      <c r="L74" s="20"/>
      <c r="M74" s="19"/>
      <c r="N74" s="19"/>
      <c r="O74" s="19"/>
      <c r="P74" s="15"/>
      <c r="Q74" s="15"/>
      <c r="R74" s="19"/>
      <c r="S74" s="19"/>
      <c r="T74" s="19"/>
      <c r="U74" s="21"/>
      <c r="V74" s="22"/>
      <c r="W74" s="44"/>
      <c r="X74" s="44"/>
      <c r="Y74" s="22"/>
      <c r="Z74" s="22"/>
      <c r="AA74" s="22"/>
      <c r="AB74" s="22"/>
      <c r="AC74" s="22"/>
      <c r="AD74" s="22"/>
      <c r="AE74" s="22"/>
      <c r="AF74" s="22"/>
    </row>
    <row r="75" spans="1:33" x14ac:dyDescent="0.25">
      <c r="A75" s="68" t="s">
        <v>392</v>
      </c>
      <c r="B75" s="20"/>
      <c r="C75" s="20"/>
      <c r="D75" s="73"/>
      <c r="E75" s="87" t="str">
        <f t="shared" si="2"/>
        <v/>
      </c>
      <c r="F75" s="87"/>
      <c r="G75" s="22"/>
      <c r="H75" s="20"/>
      <c r="I75" s="22"/>
      <c r="J75" s="22"/>
      <c r="K75" s="20"/>
      <c r="L75" s="20"/>
      <c r="M75" s="19"/>
      <c r="N75" s="19"/>
      <c r="O75" s="19"/>
      <c r="P75" s="15"/>
      <c r="Q75" s="15"/>
      <c r="R75" s="19"/>
      <c r="S75" s="19"/>
      <c r="T75" s="19"/>
      <c r="U75" s="21"/>
      <c r="V75" s="22"/>
      <c r="W75" s="44"/>
      <c r="X75" s="44"/>
      <c r="Y75" s="22"/>
      <c r="Z75" s="22"/>
      <c r="AA75" s="22"/>
      <c r="AB75" s="22"/>
      <c r="AC75" s="22"/>
      <c r="AD75" s="22"/>
      <c r="AE75" s="22"/>
      <c r="AF75" s="22"/>
    </row>
    <row r="76" spans="1:33" x14ac:dyDescent="0.25">
      <c r="A76" s="68" t="s">
        <v>393</v>
      </c>
      <c r="B76" s="20"/>
      <c r="C76" s="20"/>
      <c r="D76" s="73"/>
      <c r="E76" s="87" t="str">
        <f t="shared" si="2"/>
        <v/>
      </c>
      <c r="F76" s="87"/>
      <c r="G76" s="22"/>
      <c r="H76" s="20"/>
      <c r="I76" s="22"/>
      <c r="J76" s="22"/>
      <c r="K76" s="20"/>
      <c r="L76" s="20"/>
      <c r="M76" s="19"/>
      <c r="N76" s="19"/>
      <c r="O76" s="19"/>
      <c r="P76" s="15"/>
      <c r="Q76" s="15"/>
      <c r="R76" s="19"/>
      <c r="S76" s="19"/>
      <c r="T76" s="19"/>
      <c r="U76" s="21"/>
      <c r="V76" s="22"/>
      <c r="W76" s="44"/>
      <c r="X76" s="44"/>
      <c r="Y76" s="22"/>
      <c r="Z76" s="22"/>
      <c r="AA76" s="22"/>
      <c r="AB76" s="22"/>
      <c r="AC76" s="22"/>
      <c r="AD76" s="22"/>
      <c r="AE76" s="22"/>
      <c r="AF76" s="22"/>
    </row>
    <row r="77" spans="1:33" x14ac:dyDescent="0.25">
      <c r="A77" s="68" t="s">
        <v>394</v>
      </c>
      <c r="B77" s="20"/>
      <c r="C77" s="20"/>
      <c r="D77" s="73"/>
      <c r="E77" s="87" t="str">
        <f t="shared" si="2"/>
        <v/>
      </c>
      <c r="F77" s="87"/>
      <c r="G77" s="22"/>
      <c r="H77" s="20"/>
      <c r="I77" s="22"/>
      <c r="J77" s="22"/>
      <c r="K77" s="20"/>
      <c r="L77" s="20"/>
      <c r="M77" s="19"/>
      <c r="N77" s="19"/>
      <c r="O77" s="19"/>
      <c r="P77" s="15"/>
      <c r="Q77" s="15"/>
      <c r="R77" s="19"/>
      <c r="S77" s="19"/>
      <c r="T77" s="19"/>
      <c r="U77" s="21"/>
      <c r="V77" s="22"/>
      <c r="W77" s="44"/>
      <c r="X77" s="44"/>
      <c r="Y77" s="22"/>
      <c r="Z77" s="22"/>
      <c r="AA77" s="22"/>
      <c r="AB77" s="22"/>
      <c r="AC77" s="22"/>
      <c r="AD77" s="22"/>
      <c r="AE77" s="22"/>
      <c r="AF77" s="22"/>
    </row>
    <row r="78" spans="1:33" x14ac:dyDescent="0.25">
      <c r="A78" s="68" t="s">
        <v>395</v>
      </c>
      <c r="B78" s="20"/>
      <c r="C78" s="20"/>
      <c r="D78" s="73"/>
      <c r="E78" s="87" t="str">
        <f t="shared" si="2"/>
        <v/>
      </c>
      <c r="F78" s="87"/>
      <c r="G78" s="22"/>
      <c r="H78" s="20"/>
      <c r="I78" s="22"/>
      <c r="J78" s="22"/>
      <c r="K78" s="20"/>
      <c r="L78" s="20"/>
      <c r="M78" s="19"/>
      <c r="N78" s="19"/>
      <c r="O78" s="19"/>
      <c r="P78" s="15"/>
      <c r="Q78" s="15"/>
      <c r="R78" s="19"/>
      <c r="S78" s="19"/>
      <c r="T78" s="19"/>
      <c r="U78" s="21"/>
      <c r="V78" s="22"/>
      <c r="W78" s="44"/>
      <c r="X78" s="44"/>
      <c r="Y78" s="22"/>
      <c r="Z78" s="22"/>
      <c r="AA78" s="22"/>
      <c r="AB78" s="22"/>
      <c r="AC78" s="22"/>
      <c r="AD78" s="22"/>
      <c r="AE78" s="22"/>
      <c r="AF78" s="22"/>
    </row>
    <row r="79" spans="1:33" x14ac:dyDescent="0.25">
      <c r="A79" s="68" t="s">
        <v>396</v>
      </c>
      <c r="B79" s="20"/>
      <c r="C79" s="20"/>
      <c r="D79" s="73"/>
      <c r="E79" s="87" t="str">
        <f t="shared" si="2"/>
        <v/>
      </c>
      <c r="F79" s="87"/>
      <c r="G79" s="22"/>
      <c r="H79" s="20"/>
      <c r="I79" s="22"/>
      <c r="J79" s="22"/>
      <c r="K79" s="20"/>
      <c r="L79" s="20"/>
      <c r="M79" s="19"/>
      <c r="N79" s="19"/>
      <c r="O79" s="19"/>
      <c r="P79" s="15"/>
      <c r="Q79" s="15"/>
      <c r="R79" s="19"/>
      <c r="S79" s="19"/>
      <c r="T79" s="19"/>
      <c r="U79" s="21"/>
      <c r="V79" s="22"/>
      <c r="W79" s="44"/>
      <c r="X79" s="44"/>
      <c r="Y79" s="22"/>
      <c r="Z79" s="22"/>
      <c r="AA79" s="22"/>
      <c r="AB79" s="22"/>
      <c r="AC79" s="22"/>
      <c r="AD79" s="22"/>
      <c r="AE79" s="22"/>
      <c r="AF79" s="22"/>
    </row>
    <row r="80" spans="1:33" x14ac:dyDescent="0.25">
      <c r="A80" s="68" t="s">
        <v>397</v>
      </c>
      <c r="B80" s="20"/>
      <c r="C80" s="20"/>
      <c r="D80" s="73"/>
      <c r="E80" s="87" t="str">
        <f t="shared" si="2"/>
        <v/>
      </c>
      <c r="F80" s="87"/>
      <c r="G80" s="22"/>
      <c r="H80" s="20"/>
      <c r="I80" s="22"/>
      <c r="J80" s="22"/>
      <c r="K80" s="20"/>
      <c r="L80" s="20"/>
      <c r="M80" s="19"/>
      <c r="N80" s="19"/>
      <c r="O80" s="19"/>
      <c r="P80" s="15"/>
      <c r="Q80" s="15"/>
      <c r="R80" s="19"/>
      <c r="S80" s="19"/>
      <c r="T80" s="19"/>
      <c r="U80" s="21"/>
      <c r="V80" s="22"/>
      <c r="W80" s="44"/>
      <c r="X80" s="44"/>
      <c r="Y80" s="22"/>
      <c r="Z80" s="22"/>
      <c r="AA80" s="22"/>
      <c r="AB80" s="22"/>
      <c r="AC80" s="22"/>
      <c r="AD80" s="22"/>
      <c r="AE80" s="22"/>
      <c r="AF80" s="22"/>
    </row>
    <row r="81" spans="1:32" x14ac:dyDescent="0.25">
      <c r="A81" s="68" t="s">
        <v>398</v>
      </c>
      <c r="B81" s="20"/>
      <c r="C81" s="20"/>
      <c r="D81" s="73"/>
      <c r="E81" s="87" t="str">
        <f t="shared" si="2"/>
        <v/>
      </c>
      <c r="F81" s="87"/>
      <c r="G81" s="22"/>
      <c r="H81" s="20"/>
      <c r="I81" s="22"/>
      <c r="J81" s="22"/>
      <c r="K81" s="20"/>
      <c r="L81" s="20"/>
      <c r="M81" s="19"/>
      <c r="N81" s="19"/>
      <c r="O81" s="19"/>
      <c r="P81" s="15"/>
      <c r="Q81" s="15"/>
      <c r="R81" s="19"/>
      <c r="S81" s="19"/>
      <c r="T81" s="19"/>
      <c r="U81" s="21"/>
      <c r="V81" s="22"/>
      <c r="W81" s="44"/>
      <c r="X81" s="44"/>
      <c r="Y81" s="22"/>
      <c r="Z81" s="22"/>
      <c r="AA81" s="22"/>
      <c r="AB81" s="22"/>
      <c r="AC81" s="22"/>
      <c r="AD81" s="22"/>
      <c r="AE81" s="22"/>
      <c r="AF81" s="22"/>
    </row>
    <row r="82" spans="1:32" x14ac:dyDescent="0.25">
      <c r="E82" s="88" t="str">
        <f t="shared" si="2"/>
        <v/>
      </c>
      <c r="F82" s="88"/>
    </row>
    <row r="83" spans="1:32" x14ac:dyDescent="0.25">
      <c r="E83" s="88" t="str">
        <f t="shared" si="2"/>
        <v/>
      </c>
      <c r="F83" s="88"/>
    </row>
    <row r="84" spans="1:32" x14ac:dyDescent="0.25">
      <c r="E84" s="88" t="str">
        <f t="shared" si="2"/>
        <v/>
      </c>
      <c r="F84" s="88"/>
    </row>
    <row r="85" spans="1:32" x14ac:dyDescent="0.25">
      <c r="E85" s="88" t="str">
        <f t="shared" si="2"/>
        <v/>
      </c>
      <c r="F85" s="88"/>
    </row>
    <row r="86" spans="1:32" x14ac:dyDescent="0.25">
      <c r="E86" s="88" t="str">
        <f t="shared" si="2"/>
        <v/>
      </c>
      <c r="F86" s="88"/>
    </row>
    <row r="87" spans="1:32" x14ac:dyDescent="0.25">
      <c r="E87" s="88" t="str">
        <f t="shared" si="2"/>
        <v/>
      </c>
      <c r="F87" s="88"/>
    </row>
    <row r="88" spans="1:32" x14ac:dyDescent="0.25">
      <c r="E88" s="88" t="str">
        <f t="shared" si="2"/>
        <v/>
      </c>
      <c r="F88" s="88"/>
    </row>
    <row r="89" spans="1:32" x14ac:dyDescent="0.25">
      <c r="E89" s="88" t="str">
        <f t="shared" si="2"/>
        <v/>
      </c>
      <c r="F89" s="88"/>
    </row>
    <row r="90" spans="1:32" x14ac:dyDescent="0.25">
      <c r="E90" s="88" t="str">
        <f t="shared" si="2"/>
        <v/>
      </c>
      <c r="F90" s="88"/>
    </row>
    <row r="91" spans="1:32" x14ac:dyDescent="0.25">
      <c r="E91" s="88" t="str">
        <f t="shared" si="2"/>
        <v/>
      </c>
      <c r="F91" s="88"/>
    </row>
    <row r="92" spans="1:32" x14ac:dyDescent="0.25">
      <c r="E92" s="88" t="str">
        <f t="shared" si="2"/>
        <v/>
      </c>
      <c r="F92" s="88"/>
    </row>
    <row r="93" spans="1:32" x14ac:dyDescent="0.25">
      <c r="E93" s="88" t="str">
        <f t="shared" si="2"/>
        <v/>
      </c>
      <c r="F93" s="88"/>
    </row>
    <row r="94" spans="1:32" x14ac:dyDescent="0.25">
      <c r="E94" s="88" t="str">
        <f t="shared" si="2"/>
        <v/>
      </c>
      <c r="F94" s="88"/>
    </row>
    <row r="95" spans="1:32" x14ac:dyDescent="0.25">
      <c r="E95" s="88" t="str">
        <f t="shared" si="2"/>
        <v/>
      </c>
      <c r="F95" s="88"/>
    </row>
    <row r="96" spans="1:32" x14ac:dyDescent="0.25">
      <c r="E96" s="88" t="str">
        <f t="shared" si="2"/>
        <v/>
      </c>
      <c r="F96" s="88"/>
    </row>
    <row r="97" spans="2:6" x14ac:dyDescent="0.25">
      <c r="E97" s="88" t="str">
        <f t="shared" si="2"/>
        <v/>
      </c>
      <c r="F97" s="88"/>
    </row>
    <row r="98" spans="2:6" x14ac:dyDescent="0.25">
      <c r="E98" s="88" t="str">
        <f t="shared" si="2"/>
        <v/>
      </c>
      <c r="F98" s="88"/>
    </row>
    <row r="99" spans="2:6" x14ac:dyDescent="0.25">
      <c r="E99" s="88" t="str">
        <f t="shared" ref="E99:E106" si="3">IF(D99="","",TRIM(IFERROR(_xlfn.TEXTBEFORE(D99,","),D99)))</f>
        <v/>
      </c>
      <c r="F99" s="88"/>
    </row>
    <row r="100" spans="2:6" x14ac:dyDescent="0.25">
      <c r="E100" s="88" t="str">
        <f t="shared" si="3"/>
        <v/>
      </c>
      <c r="F100" s="88"/>
    </row>
    <row r="101" spans="2:6" x14ac:dyDescent="0.25">
      <c r="E101" s="88" t="str">
        <f t="shared" si="3"/>
        <v/>
      </c>
      <c r="F101" s="88"/>
    </row>
    <row r="102" spans="2:6" x14ac:dyDescent="0.25">
      <c r="E102" s="88" t="str">
        <f t="shared" si="3"/>
        <v/>
      </c>
      <c r="F102" s="88"/>
    </row>
    <row r="103" spans="2:6" x14ac:dyDescent="0.25">
      <c r="E103" s="88" t="str">
        <f t="shared" si="3"/>
        <v/>
      </c>
      <c r="F103" s="88"/>
    </row>
    <row r="104" spans="2:6" x14ac:dyDescent="0.25">
      <c r="E104" s="88" t="str">
        <f t="shared" si="3"/>
        <v/>
      </c>
      <c r="F104" s="88"/>
    </row>
    <row r="105" spans="2:6" x14ac:dyDescent="0.25">
      <c r="E105" s="88" t="str">
        <f t="shared" si="3"/>
        <v/>
      </c>
      <c r="F105" s="88"/>
    </row>
    <row r="106" spans="2:6" x14ac:dyDescent="0.25">
      <c r="B106" s="53" t="s">
        <v>399</v>
      </c>
      <c r="E106" s="88" t="str">
        <f t="shared" si="3"/>
        <v/>
      </c>
      <c r="F106" s="88"/>
    </row>
  </sheetData>
  <autoFilter ref="A2:AF106" xr:uid="{C06CFCA2-B0B7-4BF2-A0F9-C7DE4CE399FA}">
    <filterColumn colId="5">
      <filters blank="1">
        <filter val="Dan Zielinski"/>
        <filter val="Denise Morris"/>
        <filter val="Erin Morrow"/>
        <filter val="Jon Rasmussen"/>
        <filter val="Julie Badurina"/>
        <filter val="Mary Miras"/>
        <filter val="Nayra Calderon"/>
        <filter val="Patrice Ficklin"/>
        <filter val="Victoria Carrier"/>
      </filters>
    </filterColumn>
  </autoFilter>
  <mergeCells count="13">
    <mergeCell ref="M1:P1"/>
    <mergeCell ref="Q1:T1"/>
    <mergeCell ref="AD1:AD2"/>
    <mergeCell ref="AE1:AF1"/>
    <mergeCell ref="U1:U2"/>
    <mergeCell ref="W1:W2"/>
    <mergeCell ref="V1:V2"/>
    <mergeCell ref="X1:X2"/>
    <mergeCell ref="Y1:Y2"/>
    <mergeCell ref="Z1:Z2"/>
    <mergeCell ref="AA1:AA2"/>
    <mergeCell ref="AB1:AB2"/>
    <mergeCell ref="AC1:AC2"/>
  </mergeCells>
  <pageMargins left="0.7" right="0.7" top="0.75" bottom="0.75" header="0.3" footer="0.3"/>
  <pageSetup orientation="portrait" r:id="rId1"/>
  <headerFooter>
    <oddFooter>&amp;L&amp;1#&amp;"Calibri"&amp;10&amp;K000000Internal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D7CF4-E57F-4741-B4C2-4610F7528072}">
  <sheetPr>
    <tabColor rgb="FF92D050"/>
  </sheetPr>
  <dimension ref="A1:AI106"/>
  <sheetViews>
    <sheetView zoomScale="80" zoomScaleNormal="80" workbookViewId="0">
      <selection activeCell="F47" sqref="F47"/>
    </sheetView>
  </sheetViews>
  <sheetFormatPr defaultColWidth="8.85546875" defaultRowHeight="15" x14ac:dyDescent="0.25"/>
  <cols>
    <col min="1" max="1" width="14.42578125" style="69" bestFit="1" customWidth="1"/>
    <col min="2" max="2" width="48.5703125" style="24" bestFit="1" customWidth="1"/>
    <col min="3" max="3" width="80.5703125" style="24" customWidth="1"/>
    <col min="4" max="4" width="23.5703125" style="70" customWidth="1"/>
    <col min="5" max="5" width="30.28515625" style="24" bestFit="1" customWidth="1"/>
    <col min="6" max="6" width="21" style="23" bestFit="1" customWidth="1"/>
    <col min="7" max="7" width="20" style="24" bestFit="1" customWidth="1"/>
    <col min="8" max="8" width="18.5703125" style="24" bestFit="1" customWidth="1"/>
    <col min="9" max="9" width="16.42578125" style="24" bestFit="1" customWidth="1"/>
    <col min="10" max="10" width="15.5703125" style="24" bestFit="1" customWidth="1"/>
    <col min="11" max="11" width="15" style="69" bestFit="1" customWidth="1"/>
    <col min="12" max="12" width="15.85546875" style="69" bestFit="1" customWidth="1"/>
    <col min="13" max="13" width="19.140625" style="69" bestFit="1" customWidth="1"/>
    <col min="14" max="14" width="24.85546875" style="69" bestFit="1" customWidth="1"/>
    <col min="15" max="15" width="18.85546875" style="69" bestFit="1" customWidth="1"/>
    <col min="16" max="16" width="12.42578125" style="69" bestFit="1" customWidth="1"/>
    <col min="17" max="17" width="16.85546875" style="69" bestFit="1" customWidth="1"/>
    <col min="18" max="18" width="21.85546875" style="69" bestFit="1" customWidth="1"/>
    <col min="19" max="19" width="15.5703125" style="69" bestFit="1" customWidth="1"/>
    <col min="20" max="20" width="48.5703125" style="23" bestFit="1" customWidth="1"/>
    <col min="21" max="21" width="15.85546875" style="24" bestFit="1" customWidth="1"/>
    <col min="22" max="22" width="83" style="24" bestFit="1" customWidth="1"/>
    <col min="23" max="23" width="60" style="24" bestFit="1" customWidth="1"/>
    <col min="24" max="24" width="68.42578125" style="24" bestFit="1" customWidth="1"/>
    <col min="25" max="25" width="55" style="24" bestFit="1" customWidth="1"/>
    <col min="26" max="26" width="136.5703125" style="24" bestFit="1" customWidth="1"/>
    <col min="27" max="27" width="91.5703125" style="24" bestFit="1" customWidth="1"/>
    <col min="28" max="28" width="80.85546875" style="24" bestFit="1" customWidth="1"/>
    <col min="29" max="29" width="73.5703125" style="24" bestFit="1" customWidth="1"/>
    <col min="30" max="30" width="49.85546875" style="24" bestFit="1" customWidth="1"/>
    <col min="31" max="31" width="34.85546875" style="24" bestFit="1" customWidth="1"/>
    <col min="32" max="32" width="14.42578125" style="24" bestFit="1" customWidth="1"/>
    <col min="33" max="33" width="26.140625" style="24" bestFit="1" customWidth="1"/>
    <col min="34" max="35" width="11.140625" style="24" bestFit="1" customWidth="1"/>
    <col min="36" max="36" width="11.42578125" style="24" customWidth="1"/>
    <col min="37" max="16384" width="8.85546875" style="24"/>
  </cols>
  <sheetData>
    <row r="1" spans="1:35" s="7" customFormat="1" ht="25.5" x14ac:dyDescent="0.25">
      <c r="A1" s="1"/>
      <c r="B1" s="2" t="s">
        <v>400</v>
      </c>
      <c r="C1" s="3" t="s">
        <v>401</v>
      </c>
      <c r="D1" s="4"/>
      <c r="E1" s="5"/>
      <c r="F1" s="6"/>
      <c r="G1" s="5"/>
      <c r="H1" s="5"/>
      <c r="I1" s="5"/>
      <c r="J1" s="5"/>
      <c r="K1" s="116" t="s">
        <v>402</v>
      </c>
      <c r="L1" s="116"/>
      <c r="M1" s="116"/>
      <c r="N1" s="116"/>
      <c r="O1" s="117" t="s">
        <v>403</v>
      </c>
      <c r="P1" s="117"/>
      <c r="Q1" s="117"/>
      <c r="R1" s="117"/>
      <c r="S1" s="128" t="s">
        <v>436</v>
      </c>
      <c r="T1" s="129"/>
      <c r="U1" s="122" t="s">
        <v>404</v>
      </c>
      <c r="V1" s="124" t="str">
        <f>[4]Weighting!A2</f>
        <v>1) Is there a regulatory/legal requirement driving the prioritization of this process (ask from regulator)?</v>
      </c>
      <c r="W1" s="124" t="str">
        <f>[4]Weighting!A3</f>
        <v>2) Is there an audit or regulatory finding related to the data of this process</v>
      </c>
      <c r="X1" s="124" t="str">
        <f>[4]Weighting!A4</f>
        <v>3) Is there another initiative that prioritizes this process ? (ie reg reporting initiative)</v>
      </c>
      <c r="Y1" s="124" t="str">
        <f>[4]Weighting!A5</f>
        <v>4) Is there regulatory program that impacts multiple LOBs (ie. Basel)</v>
      </c>
      <c r="Z1" s="124" t="str">
        <f>[4]Weighting!A6</f>
        <v>5) Are there on-going/in-inflight projects/programs that will impact this process (if yes the project should have the resources to ensure the data supply chain is complaint)</v>
      </c>
      <c r="AA1" s="124" t="str">
        <f>[4]Weighting!A7</f>
        <v>6) Have upstream data providers implemented the data management standards required to support this process</v>
      </c>
      <c r="AB1" s="124" t="str">
        <f>[4]Weighting!A8</f>
        <v>7) Is the owner of a upstream/downstream process, requesting prioritization of a data supply chain?</v>
      </c>
      <c r="AC1" s="131" t="str">
        <f>[4]Weighting!A9</f>
        <v>8) Are there known material data quality issues and/or pain points involved in the process?</v>
      </c>
      <c r="AD1" s="118" t="str">
        <f>[4]Weighting!A10</f>
        <v>9) Is this a required process that is enterprise-wide?</v>
      </c>
      <c r="AE1" s="130" t="s">
        <v>405</v>
      </c>
      <c r="AF1" s="130"/>
      <c r="AH1" s="8"/>
    </row>
    <row r="2" spans="1:35" s="14" customFormat="1" ht="38.25" x14ac:dyDescent="0.25">
      <c r="A2" s="3" t="s">
        <v>0</v>
      </c>
      <c r="B2" s="3" t="s">
        <v>1</v>
      </c>
      <c r="C2" s="3" t="s">
        <v>186</v>
      </c>
      <c r="D2" s="3" t="s">
        <v>187</v>
      </c>
      <c r="E2" s="3" t="s">
        <v>4</v>
      </c>
      <c r="F2" s="3" t="s">
        <v>407</v>
      </c>
      <c r="G2" s="3" t="s">
        <v>408</v>
      </c>
      <c r="H2" s="3" t="s">
        <v>409</v>
      </c>
      <c r="I2" s="3" t="s">
        <v>410</v>
      </c>
      <c r="J2" s="3" t="s">
        <v>370</v>
      </c>
      <c r="K2" s="9" t="s">
        <v>411</v>
      </c>
      <c r="L2" s="9" t="s">
        <v>412</v>
      </c>
      <c r="M2" s="9" t="s">
        <v>413</v>
      </c>
      <c r="N2" s="9" t="s">
        <v>414</v>
      </c>
      <c r="O2" s="10" t="s">
        <v>415</v>
      </c>
      <c r="P2" s="10" t="s">
        <v>371</v>
      </c>
      <c r="Q2" s="10" t="s">
        <v>416</v>
      </c>
      <c r="R2" s="10" t="s">
        <v>417</v>
      </c>
      <c r="S2" s="11" t="s">
        <v>437</v>
      </c>
      <c r="T2" s="11" t="s">
        <v>438</v>
      </c>
      <c r="U2" s="123"/>
      <c r="V2" s="125"/>
      <c r="W2" s="125"/>
      <c r="X2" s="125"/>
      <c r="Y2" s="125"/>
      <c r="Z2" s="125"/>
      <c r="AA2" s="125"/>
      <c r="AB2" s="125"/>
      <c r="AC2" s="132"/>
      <c r="AD2" s="119"/>
      <c r="AE2" s="12" t="str">
        <f>[4]Weighting!A11</f>
        <v>10) Does this process use any Model (if yes, list the model IDs separated by ";" in the next column)</v>
      </c>
      <c r="AF2" s="12" t="s">
        <v>418</v>
      </c>
      <c r="AG2" s="3" t="s">
        <v>189</v>
      </c>
      <c r="AH2" s="13" t="s">
        <v>439</v>
      </c>
      <c r="AI2" s="13" t="s">
        <v>440</v>
      </c>
    </row>
    <row r="3" spans="1:35" ht="171.75" customHeight="1" x14ac:dyDescent="0.25">
      <c r="A3" s="15" t="s">
        <v>5</v>
      </c>
      <c r="B3" s="16" t="s">
        <v>6</v>
      </c>
      <c r="C3" s="71" t="s">
        <v>420</v>
      </c>
      <c r="D3" s="16" t="s">
        <v>196</v>
      </c>
      <c r="E3" s="18" t="s">
        <v>8</v>
      </c>
      <c r="F3" s="17" t="s">
        <v>373</v>
      </c>
      <c r="G3" s="18" t="s">
        <v>197</v>
      </c>
      <c r="H3" s="17" t="s">
        <v>224</v>
      </c>
      <c r="I3" s="17" t="s">
        <v>226</v>
      </c>
      <c r="J3" s="17" t="s">
        <v>374</v>
      </c>
      <c r="K3" s="15"/>
      <c r="L3" s="15"/>
      <c r="M3" s="15"/>
      <c r="N3" s="15" t="s">
        <v>199</v>
      </c>
      <c r="O3" s="15" t="s">
        <v>199</v>
      </c>
      <c r="P3" s="15"/>
      <c r="Q3" s="15"/>
      <c r="R3" s="15"/>
      <c r="S3" s="19" t="str">
        <f>IF(COUNTIF(K3:N3,"Yes")&gt;0,IF(COUNTIF(O3:R3,"Yes")&gt;0,"Yes","No"),"No")</f>
        <v>Yes</v>
      </c>
      <c r="T3" s="20" t="s">
        <v>441</v>
      </c>
      <c r="U3" s="21">
        <f>SUM(INDEX([4]Weighting!$B$2:$C$40,MATCH(V$1,[4]Weighting!$A$2:$A$10,0),MATCH(V3,[4]Weighting!$B$1:$C$1,0)),INDEX([4]Weighting!$B$2:$C$40,MATCH(W$1,[4]Weighting!$A$2:$A$10,0),MATCH(W3,[4]Weighting!$B$1:$C$1,0)),INDEX([4]Weighting!$B$2:$C$40,MATCH(X$1,[4]Weighting!$A$2:$A$10,0),MATCH(X3,[4]Weighting!$B$1:$C$1,0)),INDEX([4]Weighting!$B$2:$C$40,MATCH(Y$1,[4]Weighting!$A$2:$A$10,0),MATCH(Y3,[4]Weighting!$B$1:$C$1,0)),INDEX([4]Weighting!$B$2:$C$40,MATCH(Z$1,[4]Weighting!$A$2:$A$10,0),MATCH(Z3,[4]Weighting!$B$1:$C$1,0)),INDEX([4]Weighting!$B$2:$C$40,MATCH(AA$1,[4]Weighting!$A$2:$A$10,0),MATCH(AA3,[4]Weighting!$B$1:$C$1,0)),INDEX([4]Weighting!$B$2:$C$40,MATCH(AB$1,[4]Weighting!$A$2:$A$10,0),MATCH(AB3,[4]Weighting!$B$1:$C$1,0)),INDEX([4]Weighting!$B$2:$C$40,MATCH(AC$1,[4]Weighting!$A$2:$A$10,0),MATCH(AC3,[4]Weighting!$B$1:$C$1,0)),INDEX([4]Weighting!$B$2:$C$40,MATCH(AD$1,[4]Weighting!$A$2:$A$10,0),MATCH(AD3,[4]Weighting!$B$1:$C$1,0)),VLOOKUP(H3,'[4]List table'!$C$2:$D$5,2,0))</f>
        <v>16</v>
      </c>
      <c r="V3" s="22" t="s">
        <v>199</v>
      </c>
      <c r="W3" s="22" t="s">
        <v>199</v>
      </c>
      <c r="X3" s="22" t="s">
        <v>199</v>
      </c>
      <c r="Y3" s="22" t="s">
        <v>199</v>
      </c>
      <c r="Z3" s="22" t="s">
        <v>199</v>
      </c>
      <c r="AA3" s="22" t="s">
        <v>226</v>
      </c>
      <c r="AB3" s="22" t="s">
        <v>199</v>
      </c>
      <c r="AC3" s="22" t="s">
        <v>199</v>
      </c>
      <c r="AD3" s="22" t="s">
        <v>199</v>
      </c>
      <c r="AE3" s="22" t="s">
        <v>226</v>
      </c>
      <c r="AF3" s="22"/>
      <c r="AG3" s="23" t="s">
        <v>198</v>
      </c>
    </row>
    <row r="4" spans="1:35" ht="120" x14ac:dyDescent="0.25">
      <c r="A4" s="15" t="s">
        <v>9</v>
      </c>
      <c r="B4" s="16" t="s">
        <v>10</v>
      </c>
      <c r="C4" s="17" t="s">
        <v>201</v>
      </c>
      <c r="D4" s="16" t="s">
        <v>202</v>
      </c>
      <c r="E4" s="17" t="s">
        <v>421</v>
      </c>
      <c r="F4" s="17" t="s">
        <v>375</v>
      </c>
      <c r="G4" s="17"/>
      <c r="H4" s="17" t="s">
        <v>224</v>
      </c>
      <c r="I4" s="17" t="s">
        <v>226</v>
      </c>
      <c r="J4" s="17" t="s">
        <v>374</v>
      </c>
      <c r="K4" s="15" t="s">
        <v>199</v>
      </c>
      <c r="L4" s="15" t="s">
        <v>199</v>
      </c>
      <c r="M4" s="15" t="s">
        <v>226</v>
      </c>
      <c r="N4" s="15" t="s">
        <v>199</v>
      </c>
      <c r="O4" s="15" t="s">
        <v>199</v>
      </c>
      <c r="P4" s="15"/>
      <c r="Q4" s="15"/>
      <c r="R4" s="15"/>
      <c r="S4" s="19" t="str">
        <f t="shared" ref="S4:S56" si="0">IF(COUNTIF(K4:N4,"Yes")&gt;0,IF(COUNTIF(O4:R4,"Yes")&gt;0,"Yes","No"),"No")</f>
        <v>Yes</v>
      </c>
      <c r="T4" s="20" t="s">
        <v>441</v>
      </c>
      <c r="U4" s="21">
        <f>SUM(INDEX([4]Weighting!$B$2:$C$40,MATCH(V$1,[4]Weighting!$A$2:$A$10,0),MATCH(V4,[4]Weighting!$B$1:$C$1,0)),INDEX([4]Weighting!$B$2:$C$40,MATCH(W$1,[4]Weighting!$A$2:$A$10,0),MATCH(W4,[4]Weighting!$B$1:$C$1,0)),INDEX([4]Weighting!$B$2:$C$40,MATCH(X$1,[4]Weighting!$A$2:$A$10,0),MATCH(X4,[4]Weighting!$B$1:$C$1,0)),INDEX([4]Weighting!$B$2:$C$40,MATCH(Y$1,[4]Weighting!$A$2:$A$10,0),MATCH(Y4,[4]Weighting!$B$1:$C$1,0)),INDEX([4]Weighting!$B$2:$C$40,MATCH(Z$1,[4]Weighting!$A$2:$A$10,0),MATCH(Z4,[4]Weighting!$B$1:$C$1,0)),INDEX([4]Weighting!$B$2:$C$40,MATCH(AA$1,[4]Weighting!$A$2:$A$10,0),MATCH(AA4,[4]Weighting!$B$1:$C$1,0)),INDEX([4]Weighting!$B$2:$C$40,MATCH(AB$1,[4]Weighting!$A$2:$A$10,0),MATCH(AB4,[4]Weighting!$B$1:$C$1,0)),INDEX([4]Weighting!$B$2:$C$40,MATCH(AC$1,[4]Weighting!$A$2:$A$10,0),MATCH(AC4,[4]Weighting!$B$1:$C$1,0)),INDEX([4]Weighting!$B$2:$C$40,MATCH(AD$1,[4]Weighting!$A$2:$A$10,0),MATCH(AD4,[4]Weighting!$B$1:$C$1,0)),VLOOKUP(H4,'[4]List table'!$C$2:$D$5,2,0))</f>
        <v>16</v>
      </c>
      <c r="V4" s="25" t="s">
        <v>199</v>
      </c>
      <c r="W4" s="22" t="s">
        <v>199</v>
      </c>
      <c r="X4" s="22" t="s">
        <v>199</v>
      </c>
      <c r="Y4" s="22" t="s">
        <v>199</v>
      </c>
      <c r="Z4" s="22" t="s">
        <v>199</v>
      </c>
      <c r="AA4" s="22" t="s">
        <v>226</v>
      </c>
      <c r="AB4" s="22" t="s">
        <v>199</v>
      </c>
      <c r="AC4" s="22" t="s">
        <v>199</v>
      </c>
      <c r="AD4" s="22" t="s">
        <v>199</v>
      </c>
      <c r="AE4" s="22" t="s">
        <v>226</v>
      </c>
      <c r="AF4" s="22"/>
    </row>
    <row r="5" spans="1:35" ht="186" customHeight="1" x14ac:dyDescent="0.25">
      <c r="A5" s="15" t="s">
        <v>12</v>
      </c>
      <c r="B5" s="16" t="s">
        <v>13</v>
      </c>
      <c r="C5" s="17" t="s">
        <v>203</v>
      </c>
      <c r="D5" s="16" t="s">
        <v>204</v>
      </c>
      <c r="E5" s="18" t="s">
        <v>15</v>
      </c>
      <c r="F5" s="17"/>
      <c r="G5" s="18" t="s">
        <v>205</v>
      </c>
      <c r="H5" s="17" t="s">
        <v>422</v>
      </c>
      <c r="I5" s="17" t="s">
        <v>226</v>
      </c>
      <c r="J5" s="17" t="s">
        <v>374</v>
      </c>
      <c r="K5" s="15"/>
      <c r="L5" s="15" t="s">
        <v>199</v>
      </c>
      <c r="M5" s="15"/>
      <c r="N5" s="15" t="s">
        <v>199</v>
      </c>
      <c r="O5" s="15" t="s">
        <v>199</v>
      </c>
      <c r="P5" s="15"/>
      <c r="Q5" s="15"/>
      <c r="R5" s="15"/>
      <c r="S5" s="19" t="str">
        <f t="shared" si="0"/>
        <v>Yes</v>
      </c>
      <c r="T5" s="20" t="s">
        <v>441</v>
      </c>
      <c r="U5" s="21">
        <f>SUM(INDEX([4]Weighting!$B$2:$C$40,MATCH(V$1,[4]Weighting!$A$2:$A$10,0),MATCH(V5,[4]Weighting!$B$1:$C$1,0)),INDEX([4]Weighting!$B$2:$C$40,MATCH(W$1,[4]Weighting!$A$2:$A$10,0),MATCH(W5,[4]Weighting!$B$1:$C$1,0)),INDEX([4]Weighting!$B$2:$C$40,MATCH(X$1,[4]Weighting!$A$2:$A$10,0),MATCH(X5,[4]Weighting!$B$1:$C$1,0)),INDEX([4]Weighting!$B$2:$C$40,MATCH(Y$1,[4]Weighting!$A$2:$A$10,0),MATCH(Y5,[4]Weighting!$B$1:$C$1,0)),INDEX([4]Weighting!$B$2:$C$40,MATCH(Z$1,[4]Weighting!$A$2:$A$10,0),MATCH(Z5,[4]Weighting!$B$1:$C$1,0)),INDEX([4]Weighting!$B$2:$C$40,MATCH(AA$1,[4]Weighting!$A$2:$A$10,0),MATCH(AA5,[4]Weighting!$B$1:$C$1,0)),INDEX([4]Weighting!$B$2:$C$40,MATCH(AB$1,[4]Weighting!$A$2:$A$10,0),MATCH(AB5,[4]Weighting!$B$1:$C$1,0)),INDEX([4]Weighting!$B$2:$C$40,MATCH(AC$1,[4]Weighting!$A$2:$A$10,0),MATCH(AC5,[4]Weighting!$B$1:$C$1,0)),INDEX([4]Weighting!$B$2:$C$40,MATCH(AD$1,[4]Weighting!$A$2:$A$10,0),MATCH(AD5,[4]Weighting!$B$1:$C$1,0)),VLOOKUP(H5,'[4]List table'!$C$2:$D$5,2,0))</f>
        <v>15</v>
      </c>
      <c r="V5" s="22" t="s">
        <v>199</v>
      </c>
      <c r="W5" s="22" t="s">
        <v>199</v>
      </c>
      <c r="X5" s="22" t="s">
        <v>199</v>
      </c>
      <c r="Y5" s="22" t="s">
        <v>199</v>
      </c>
      <c r="Z5" s="22" t="s">
        <v>226</v>
      </c>
      <c r="AA5" s="22" t="s">
        <v>226</v>
      </c>
      <c r="AB5" s="22" t="s">
        <v>226</v>
      </c>
      <c r="AC5" s="22" t="s">
        <v>226</v>
      </c>
      <c r="AD5" s="22" t="s">
        <v>199</v>
      </c>
      <c r="AE5" s="22" t="s">
        <v>226</v>
      </c>
      <c r="AF5" s="22"/>
      <c r="AG5" s="23" t="s">
        <v>206</v>
      </c>
    </row>
    <row r="6" spans="1:35" ht="60" x14ac:dyDescent="0.25">
      <c r="A6" s="15" t="s">
        <v>16</v>
      </c>
      <c r="B6" s="16" t="s">
        <v>17</v>
      </c>
      <c r="C6" s="17" t="s">
        <v>207</v>
      </c>
      <c r="D6" s="16" t="s">
        <v>208</v>
      </c>
      <c r="E6" s="26" t="s">
        <v>8</v>
      </c>
      <c r="F6" s="17"/>
      <c r="G6" s="18" t="s">
        <v>209</v>
      </c>
      <c r="H6" s="17" t="s">
        <v>224</v>
      </c>
      <c r="I6" s="17" t="s">
        <v>226</v>
      </c>
      <c r="J6" s="17" t="s">
        <v>374</v>
      </c>
      <c r="K6" s="15" t="s">
        <v>199</v>
      </c>
      <c r="L6" s="15" t="s">
        <v>226</v>
      </c>
      <c r="M6" s="15" t="s">
        <v>226</v>
      </c>
      <c r="N6" s="15" t="s">
        <v>199</v>
      </c>
      <c r="O6" s="15" t="s">
        <v>199</v>
      </c>
      <c r="P6" s="15" t="s">
        <v>226</v>
      </c>
      <c r="Q6" s="15" t="s">
        <v>226</v>
      </c>
      <c r="R6" s="15" t="s">
        <v>199</v>
      </c>
      <c r="S6" s="19" t="str">
        <f t="shared" si="0"/>
        <v>Yes</v>
      </c>
      <c r="T6" s="20"/>
      <c r="U6" s="21">
        <f>SUM(INDEX([4]Weighting!$B$2:$C$40,MATCH(V$1,[4]Weighting!$A$2:$A$10,0),MATCH(V6,[4]Weighting!$B$1:$C$1,0)),INDEX([4]Weighting!$B$2:$C$40,MATCH(W$1,[4]Weighting!$A$2:$A$10,0),MATCH(W6,[4]Weighting!$B$1:$C$1,0)),INDEX([4]Weighting!$B$2:$C$40,MATCH(X$1,[4]Weighting!$A$2:$A$10,0),MATCH(X6,[4]Weighting!$B$1:$C$1,0)),INDEX([4]Weighting!$B$2:$C$40,MATCH(Y$1,[4]Weighting!$A$2:$A$10,0),MATCH(Y6,[4]Weighting!$B$1:$C$1,0)),INDEX([4]Weighting!$B$2:$C$40,MATCH(Z$1,[4]Weighting!$A$2:$A$10,0),MATCH(Z6,[4]Weighting!$B$1:$C$1,0)),INDEX([4]Weighting!$B$2:$C$40,MATCH(AA$1,[4]Weighting!$A$2:$A$10,0),MATCH(AA6,[4]Weighting!$B$1:$C$1,0)),INDEX([4]Weighting!$B$2:$C$40,MATCH(AB$1,[4]Weighting!$A$2:$A$10,0),MATCH(AB6,[4]Weighting!$B$1:$C$1,0)),INDEX([4]Weighting!$B$2:$C$40,MATCH(AC$1,[4]Weighting!$A$2:$A$10,0),MATCH(AC6,[4]Weighting!$B$1:$C$1,0)),INDEX([4]Weighting!$B$2:$C$40,MATCH(AD$1,[4]Weighting!$A$2:$A$10,0),MATCH(AD6,[4]Weighting!$B$1:$C$1,0)),VLOOKUP(H6,'[4]List table'!$C$2:$D$5,2,0))</f>
        <v>14</v>
      </c>
      <c r="V6" s="22" t="s">
        <v>199</v>
      </c>
      <c r="W6" s="22" t="s">
        <v>199</v>
      </c>
      <c r="X6" s="22" t="s">
        <v>199</v>
      </c>
      <c r="Y6" s="22" t="s">
        <v>199</v>
      </c>
      <c r="Z6" s="25" t="s">
        <v>199</v>
      </c>
      <c r="AA6" s="22" t="s">
        <v>226</v>
      </c>
      <c r="AB6" s="22" t="s">
        <v>226</v>
      </c>
      <c r="AC6" s="22" t="s">
        <v>199</v>
      </c>
      <c r="AD6" s="22" t="s">
        <v>199</v>
      </c>
      <c r="AE6" s="22" t="s">
        <v>226</v>
      </c>
      <c r="AF6" s="22"/>
      <c r="AG6" s="23" t="s">
        <v>210</v>
      </c>
    </row>
    <row r="7" spans="1:35" ht="90" x14ac:dyDescent="0.25">
      <c r="A7" s="15" t="s">
        <v>18</v>
      </c>
      <c r="B7" s="16" t="s">
        <v>19</v>
      </c>
      <c r="C7" s="17" t="s">
        <v>212</v>
      </c>
      <c r="D7" s="16" t="s">
        <v>213</v>
      </c>
      <c r="E7" s="18" t="s">
        <v>20</v>
      </c>
      <c r="F7" s="17"/>
      <c r="G7" s="18" t="s">
        <v>214</v>
      </c>
      <c r="H7" s="17" t="s">
        <v>224</v>
      </c>
      <c r="I7" s="17" t="s">
        <v>226</v>
      </c>
      <c r="J7" s="17" t="s">
        <v>374</v>
      </c>
      <c r="K7" s="15"/>
      <c r="L7" s="15"/>
      <c r="M7" s="15"/>
      <c r="N7" s="15" t="s">
        <v>199</v>
      </c>
      <c r="O7" s="15" t="s">
        <v>199</v>
      </c>
      <c r="P7" s="15"/>
      <c r="Q7" s="15"/>
      <c r="R7" s="15"/>
      <c r="S7" s="19" t="str">
        <f t="shared" si="0"/>
        <v>Yes</v>
      </c>
      <c r="T7" s="20"/>
      <c r="U7" s="21">
        <f>SUM(INDEX([4]Weighting!$B$2:$C$40,MATCH(V$1,[4]Weighting!$A$2:$A$10,0),MATCH(V7,[4]Weighting!$B$1:$C$1,0)),INDEX([4]Weighting!$B$2:$C$40,MATCH(W$1,[4]Weighting!$A$2:$A$10,0),MATCH(W7,[4]Weighting!$B$1:$C$1,0)),INDEX([4]Weighting!$B$2:$C$40,MATCH(X$1,[4]Weighting!$A$2:$A$10,0),MATCH(X7,[4]Weighting!$B$1:$C$1,0)),INDEX([4]Weighting!$B$2:$C$40,MATCH(Y$1,[4]Weighting!$A$2:$A$10,0),MATCH(Y7,[4]Weighting!$B$1:$C$1,0)),INDEX([4]Weighting!$B$2:$C$40,MATCH(Z$1,[4]Weighting!$A$2:$A$10,0),MATCH(Z7,[4]Weighting!$B$1:$C$1,0)),INDEX([4]Weighting!$B$2:$C$40,MATCH(AA$1,[4]Weighting!$A$2:$A$10,0),MATCH(AA7,[4]Weighting!$B$1:$C$1,0)),INDEX([4]Weighting!$B$2:$C$40,MATCH(AB$1,[4]Weighting!$A$2:$A$10,0),MATCH(AB7,[4]Weighting!$B$1:$C$1,0)),INDEX([4]Weighting!$B$2:$C$40,MATCH(AC$1,[4]Weighting!$A$2:$A$10,0),MATCH(AC7,[4]Weighting!$B$1:$C$1,0)),INDEX([4]Weighting!$B$2:$C$40,MATCH(AD$1,[4]Weighting!$A$2:$A$10,0),MATCH(AD7,[4]Weighting!$B$1:$C$1,0)),VLOOKUP(H7,'[4]List table'!$C$2:$D$5,2,0))</f>
        <v>17</v>
      </c>
      <c r="V7" s="22" t="s">
        <v>199</v>
      </c>
      <c r="W7" s="22" t="s">
        <v>199</v>
      </c>
      <c r="X7" s="22" t="s">
        <v>226</v>
      </c>
      <c r="Y7" s="22" t="s">
        <v>199</v>
      </c>
      <c r="Z7" s="25" t="s">
        <v>199</v>
      </c>
      <c r="AA7" s="22" t="s">
        <v>226</v>
      </c>
      <c r="AB7" s="22" t="s">
        <v>199</v>
      </c>
      <c r="AC7" s="22" t="s">
        <v>199</v>
      </c>
      <c r="AD7" s="22" t="s">
        <v>199</v>
      </c>
      <c r="AE7" s="22" t="s">
        <v>226</v>
      </c>
      <c r="AF7" s="22"/>
      <c r="AG7" s="27" t="s">
        <v>215</v>
      </c>
    </row>
    <row r="8" spans="1:35" ht="57.75" customHeight="1" x14ac:dyDescent="0.25">
      <c r="A8" s="15" t="s">
        <v>21</v>
      </c>
      <c r="B8" s="16" t="s">
        <v>22</v>
      </c>
      <c r="C8" s="17" t="s">
        <v>216</v>
      </c>
      <c r="D8" s="16" t="s">
        <v>217</v>
      </c>
      <c r="E8" s="18" t="s">
        <v>23</v>
      </c>
      <c r="F8" s="17"/>
      <c r="G8" s="18" t="s">
        <v>218</v>
      </c>
      <c r="H8" s="17" t="s">
        <v>224</v>
      </c>
      <c r="I8" s="17" t="s">
        <v>226</v>
      </c>
      <c r="J8" s="17" t="s">
        <v>374</v>
      </c>
      <c r="K8" s="15"/>
      <c r="L8" s="15"/>
      <c r="M8" s="15"/>
      <c r="N8" s="15" t="s">
        <v>199</v>
      </c>
      <c r="O8" s="15" t="s">
        <v>199</v>
      </c>
      <c r="P8" s="15"/>
      <c r="Q8" s="15"/>
      <c r="R8" s="15"/>
      <c r="S8" s="19" t="str">
        <f t="shared" si="0"/>
        <v>Yes</v>
      </c>
      <c r="T8" s="20"/>
      <c r="U8" s="21">
        <f>SUM(INDEX([4]Weighting!$B$2:$C$40,MATCH(V$1,[4]Weighting!$A$2:$A$10,0),MATCH(V8,[4]Weighting!$B$1:$C$1,0)),INDEX([4]Weighting!$B$2:$C$40,MATCH(W$1,[4]Weighting!$A$2:$A$10,0),MATCH(W8,[4]Weighting!$B$1:$C$1,0)),INDEX([4]Weighting!$B$2:$C$40,MATCH(X$1,[4]Weighting!$A$2:$A$10,0),MATCH(X8,[4]Weighting!$B$1:$C$1,0)),INDEX([4]Weighting!$B$2:$C$40,MATCH(Y$1,[4]Weighting!$A$2:$A$10,0),MATCH(Y8,[4]Weighting!$B$1:$C$1,0)),INDEX([4]Weighting!$B$2:$C$40,MATCH(Z$1,[4]Weighting!$A$2:$A$10,0),MATCH(Z8,[4]Weighting!$B$1:$C$1,0)),INDEX([4]Weighting!$B$2:$C$40,MATCH(AA$1,[4]Weighting!$A$2:$A$10,0),MATCH(AA8,[4]Weighting!$B$1:$C$1,0)),INDEX([4]Weighting!$B$2:$C$40,MATCH(AB$1,[4]Weighting!$A$2:$A$10,0),MATCH(AB8,[4]Weighting!$B$1:$C$1,0)),INDEX([4]Weighting!$B$2:$C$40,MATCH(AC$1,[4]Weighting!$A$2:$A$10,0),MATCH(AC8,[4]Weighting!$B$1:$C$1,0)),INDEX([4]Weighting!$B$2:$C$40,MATCH(AD$1,[4]Weighting!$A$2:$A$10,0),MATCH(AD8,[4]Weighting!$B$1:$C$1,0)),VLOOKUP(H8,'[4]List table'!$C$2:$D$5,2,0))</f>
        <v>13</v>
      </c>
      <c r="V8" s="22" t="s">
        <v>199</v>
      </c>
      <c r="W8" s="22" t="s">
        <v>199</v>
      </c>
      <c r="X8" s="22" t="s">
        <v>226</v>
      </c>
      <c r="Y8" s="22" t="s">
        <v>199</v>
      </c>
      <c r="Z8" s="22" t="s">
        <v>199</v>
      </c>
      <c r="AA8" s="22" t="s">
        <v>226</v>
      </c>
      <c r="AB8" s="22" t="s">
        <v>226</v>
      </c>
      <c r="AC8" s="22" t="s">
        <v>226</v>
      </c>
      <c r="AD8" s="22" t="s">
        <v>199</v>
      </c>
      <c r="AE8" s="22" t="s">
        <v>226</v>
      </c>
      <c r="AF8" s="22"/>
      <c r="AG8" s="23" t="s">
        <v>219</v>
      </c>
    </row>
    <row r="9" spans="1:35" ht="30" x14ac:dyDescent="0.25">
      <c r="A9" s="15" t="s">
        <v>24</v>
      </c>
      <c r="B9" s="16" t="s">
        <v>25</v>
      </c>
      <c r="C9" s="17" t="s">
        <v>220</v>
      </c>
      <c r="D9" s="28" t="s">
        <v>442</v>
      </c>
      <c r="E9" s="17" t="s">
        <v>28</v>
      </c>
      <c r="F9" s="17"/>
      <c r="G9" s="17" t="s">
        <v>221</v>
      </c>
      <c r="H9" s="17" t="s">
        <v>423</v>
      </c>
      <c r="I9" s="17" t="s">
        <v>226</v>
      </c>
      <c r="J9" s="17" t="s">
        <v>376</v>
      </c>
      <c r="K9" s="15"/>
      <c r="L9" s="15"/>
      <c r="M9" s="15"/>
      <c r="N9" s="15" t="s">
        <v>199</v>
      </c>
      <c r="O9" s="15" t="s">
        <v>199</v>
      </c>
      <c r="P9" s="15"/>
      <c r="Q9" s="15"/>
      <c r="R9" s="15"/>
      <c r="S9" s="19" t="str">
        <f t="shared" si="0"/>
        <v>Yes</v>
      </c>
      <c r="T9" s="20"/>
      <c r="U9" s="21">
        <f>SUM(INDEX([4]Weighting!$B$2:$C$40,MATCH(V$1,[4]Weighting!$A$2:$A$10,0),MATCH(V9,[4]Weighting!$B$1:$C$1,0)),INDEX([4]Weighting!$B$2:$C$40,MATCH(W$1,[4]Weighting!$A$2:$A$10,0),MATCH(W9,[4]Weighting!$B$1:$C$1,0)),INDEX([4]Weighting!$B$2:$C$40,MATCH(X$1,[4]Weighting!$A$2:$A$10,0),MATCH(X9,[4]Weighting!$B$1:$C$1,0)),INDEX([4]Weighting!$B$2:$C$40,MATCH(Y$1,[4]Weighting!$A$2:$A$10,0),MATCH(Y9,[4]Weighting!$B$1:$C$1,0)),INDEX([4]Weighting!$B$2:$C$40,MATCH(Z$1,[4]Weighting!$A$2:$A$10,0),MATCH(Z9,[4]Weighting!$B$1:$C$1,0)),INDEX([4]Weighting!$B$2:$C$40,MATCH(AA$1,[4]Weighting!$A$2:$A$10,0),MATCH(AA9,[4]Weighting!$B$1:$C$1,0)),INDEX([4]Weighting!$B$2:$C$40,MATCH(AB$1,[4]Weighting!$A$2:$A$10,0),MATCH(AB9,[4]Weighting!$B$1:$C$1,0)),INDEX([4]Weighting!$B$2:$C$40,MATCH(AC$1,[4]Weighting!$A$2:$A$10,0),MATCH(AC9,[4]Weighting!$B$1:$C$1,0)),INDEX([4]Weighting!$B$2:$C$40,MATCH(AD$1,[4]Weighting!$A$2:$A$10,0),MATCH(AD9,[4]Weighting!$B$1:$C$1,0)),VLOOKUP(H9,'[4]List table'!$C$2:$D$5,2,0))</f>
        <v>13</v>
      </c>
      <c r="V9" s="22" t="s">
        <v>199</v>
      </c>
      <c r="W9" s="22" t="s">
        <v>226</v>
      </c>
      <c r="X9" s="22" t="s">
        <v>226</v>
      </c>
      <c r="Y9" s="22" t="s">
        <v>199</v>
      </c>
      <c r="Z9" s="22" t="s">
        <v>226</v>
      </c>
      <c r="AA9" s="22" t="s">
        <v>226</v>
      </c>
      <c r="AB9" s="22" t="s">
        <v>226</v>
      </c>
      <c r="AC9" s="22" t="s">
        <v>226</v>
      </c>
      <c r="AD9" s="22" t="s">
        <v>226</v>
      </c>
      <c r="AE9" s="22" t="s">
        <v>226</v>
      </c>
      <c r="AF9" s="22"/>
    </row>
    <row r="10" spans="1:35" ht="75" x14ac:dyDescent="0.25">
      <c r="A10" s="15" t="s">
        <v>29</v>
      </c>
      <c r="B10" s="16" t="s">
        <v>30</v>
      </c>
      <c r="C10" s="17" t="s">
        <v>222</v>
      </c>
      <c r="D10" s="29" t="s">
        <v>443</v>
      </c>
      <c r="E10" s="18" t="s">
        <v>32</v>
      </c>
      <c r="F10" s="17" t="s">
        <v>224</v>
      </c>
      <c r="G10" s="17" t="s">
        <v>224</v>
      </c>
      <c r="H10" s="17" t="s">
        <v>224</v>
      </c>
      <c r="I10" s="17" t="s">
        <v>224</v>
      </c>
      <c r="J10" s="17" t="s">
        <v>374</v>
      </c>
      <c r="K10" s="15" t="s">
        <v>199</v>
      </c>
      <c r="L10" s="15"/>
      <c r="M10" s="15"/>
      <c r="N10" s="15"/>
      <c r="O10" s="15" t="s">
        <v>226</v>
      </c>
      <c r="P10" s="15" t="s">
        <v>226</v>
      </c>
      <c r="Q10" s="15" t="s">
        <v>226</v>
      </c>
      <c r="R10" s="15" t="s">
        <v>226</v>
      </c>
      <c r="S10" s="19" t="str">
        <f t="shared" si="0"/>
        <v>No</v>
      </c>
      <c r="T10" s="20"/>
      <c r="U10" s="21" t="e">
        <f>SUM(INDEX([4]Weighting!$B$2:$C$40,MATCH(V$1,[4]Weighting!$A$2:$A$10,0),MATCH(V10,[4]Weighting!$B$1:$C$1,0)),INDEX([4]Weighting!$B$2:$C$40,MATCH(W$1,[4]Weighting!$A$2:$A$10,0),MATCH(W10,[4]Weighting!$B$1:$C$1,0)),INDEX([4]Weighting!$B$2:$C$40,MATCH(X$1,[4]Weighting!$A$2:$A$10,0),MATCH(X10,[4]Weighting!$B$1:$C$1,0)),INDEX([4]Weighting!$B$2:$C$40,MATCH(Y$1,[4]Weighting!$A$2:$A$10,0),MATCH(Y10,[4]Weighting!$B$1:$C$1,0)),INDEX([4]Weighting!$B$2:$C$40,MATCH(Z$1,[4]Weighting!$A$2:$A$10,0),MATCH(Z10,[4]Weighting!$B$1:$C$1,0)),INDEX([4]Weighting!$B$2:$C$40,MATCH(AA$1,[4]Weighting!$A$2:$A$10,0),MATCH(AA10,[4]Weighting!$B$1:$C$1,0)),INDEX([4]Weighting!$B$2:$C$40,MATCH(AB$1,[4]Weighting!$A$2:$A$10,0),MATCH(AB10,[4]Weighting!$B$1:$C$1,0)),INDEX([4]Weighting!$B$2:$C$40,MATCH(AC$1,[4]Weighting!$A$2:$A$10,0),MATCH(AC10,[4]Weighting!$B$1:$C$1,0)),INDEX([4]Weighting!$B$2:$C$40,MATCH(AD$1,[4]Weighting!$A$2:$A$10,0),MATCH(AD10,[4]Weighting!$B$1:$C$1,0)),VLOOKUP(H10,'[4]List table'!$C$2:$D$5,2,0))</f>
        <v>#N/A</v>
      </c>
      <c r="V10" s="22"/>
      <c r="W10" s="22"/>
      <c r="X10" s="22"/>
      <c r="Y10" s="22"/>
      <c r="Z10" s="22"/>
      <c r="AA10" s="22"/>
      <c r="AB10" s="22"/>
      <c r="AC10" s="22"/>
      <c r="AD10" s="22"/>
      <c r="AE10" s="22"/>
      <c r="AF10" s="22"/>
      <c r="AG10" s="24" t="s">
        <v>225</v>
      </c>
    </row>
    <row r="11" spans="1:35" ht="45" x14ac:dyDescent="0.25">
      <c r="A11" s="15" t="s">
        <v>33</v>
      </c>
      <c r="B11" s="16" t="s">
        <v>34</v>
      </c>
      <c r="C11" s="17" t="s">
        <v>227</v>
      </c>
      <c r="D11" s="29" t="s">
        <v>443</v>
      </c>
      <c r="E11" s="18" t="s">
        <v>32</v>
      </c>
      <c r="F11" s="17"/>
      <c r="G11" s="17"/>
      <c r="H11" s="17"/>
      <c r="I11" s="17"/>
      <c r="J11" s="17" t="s">
        <v>374</v>
      </c>
      <c r="K11" s="15" t="s">
        <v>199</v>
      </c>
      <c r="L11" s="15" t="s">
        <v>226</v>
      </c>
      <c r="M11" s="15" t="s">
        <v>226</v>
      </c>
      <c r="N11" s="15" t="s">
        <v>199</v>
      </c>
      <c r="O11" s="15" t="s">
        <v>226</v>
      </c>
      <c r="P11" s="15" t="s">
        <v>226</v>
      </c>
      <c r="Q11" s="15" t="s">
        <v>226</v>
      </c>
      <c r="R11" s="15" t="s">
        <v>226</v>
      </c>
      <c r="S11" s="19" t="str">
        <f t="shared" si="0"/>
        <v>No</v>
      </c>
      <c r="T11" s="20"/>
      <c r="U11" s="21" t="e">
        <f>SUM(INDEX([4]Weighting!$B$2:$C$40,MATCH(V$1,[4]Weighting!$A$2:$A$10,0),MATCH(V11,[4]Weighting!$B$1:$C$1,0)),INDEX([4]Weighting!$B$2:$C$40,MATCH(W$1,[4]Weighting!$A$2:$A$10,0),MATCH(W11,[4]Weighting!$B$1:$C$1,0)),INDEX([4]Weighting!$B$2:$C$40,MATCH(X$1,[4]Weighting!$A$2:$A$10,0),MATCH(X11,[4]Weighting!$B$1:$C$1,0)),INDEX([4]Weighting!$B$2:$C$40,MATCH(Y$1,[4]Weighting!$A$2:$A$10,0),MATCH(Y11,[4]Weighting!$B$1:$C$1,0)),INDEX([4]Weighting!$B$2:$C$40,MATCH(Z$1,[4]Weighting!$A$2:$A$10,0),MATCH(Z11,[4]Weighting!$B$1:$C$1,0)),INDEX([4]Weighting!$B$2:$C$40,MATCH(AA$1,[4]Weighting!$A$2:$A$10,0),MATCH(AA11,[4]Weighting!$B$1:$C$1,0)),INDEX([4]Weighting!$B$2:$C$40,MATCH(AB$1,[4]Weighting!$A$2:$A$10,0),MATCH(AB11,[4]Weighting!$B$1:$C$1,0)),INDEX([4]Weighting!$B$2:$C$40,MATCH(AC$1,[4]Weighting!$A$2:$A$10,0),MATCH(AC11,[4]Weighting!$B$1:$C$1,0)),INDEX([4]Weighting!$B$2:$C$40,MATCH(AD$1,[4]Weighting!$A$2:$A$10,0),MATCH(AD11,[4]Weighting!$B$1:$C$1,0)),VLOOKUP(H11,'[4]List table'!$C$2:$D$5,2,0))</f>
        <v>#N/A</v>
      </c>
      <c r="V11" s="22"/>
      <c r="W11" s="22"/>
      <c r="X11" s="22"/>
      <c r="Y11" s="22"/>
      <c r="Z11" s="22"/>
      <c r="AA11" s="22"/>
      <c r="AB11" s="22"/>
      <c r="AC11" s="22"/>
      <c r="AD11" s="22"/>
      <c r="AE11" s="22"/>
      <c r="AF11" s="22"/>
      <c r="AG11" s="24" t="s">
        <v>228</v>
      </c>
    </row>
    <row r="12" spans="1:35" ht="60" customHeight="1" x14ac:dyDescent="0.25">
      <c r="A12" s="15" t="s">
        <v>35</v>
      </c>
      <c r="B12" s="16" t="s">
        <v>36</v>
      </c>
      <c r="C12" s="17" t="s">
        <v>229</v>
      </c>
      <c r="D12" s="30" t="s">
        <v>444</v>
      </c>
      <c r="E12" s="17" t="s">
        <v>38</v>
      </c>
      <c r="F12" s="17"/>
      <c r="G12" s="17"/>
      <c r="H12" s="17" t="s">
        <v>224</v>
      </c>
      <c r="I12" s="17" t="s">
        <v>226</v>
      </c>
      <c r="J12" s="17" t="s">
        <v>374</v>
      </c>
      <c r="K12" s="15" t="s">
        <v>226</v>
      </c>
      <c r="L12" s="15" t="s">
        <v>199</v>
      </c>
      <c r="M12" s="15" t="s">
        <v>226</v>
      </c>
      <c r="N12" s="15" t="s">
        <v>199</v>
      </c>
      <c r="O12" s="15" t="s">
        <v>226</v>
      </c>
      <c r="P12" s="15" t="s">
        <v>226</v>
      </c>
      <c r="Q12" s="15" t="s">
        <v>226</v>
      </c>
      <c r="R12" s="15" t="s">
        <v>226</v>
      </c>
      <c r="S12" s="19" t="str">
        <f t="shared" si="0"/>
        <v>No</v>
      </c>
      <c r="T12" s="20"/>
      <c r="U12" s="21" t="e">
        <f>SUM(INDEX([4]Weighting!$B$2:$C$40,MATCH(V$1,[4]Weighting!$A$2:$A$10,0),MATCH(V12,[4]Weighting!$B$1:$C$1,0)),INDEX([4]Weighting!$B$2:$C$40,MATCH(W$1,[4]Weighting!$A$2:$A$10,0),MATCH(W12,[4]Weighting!$B$1:$C$1,0)),INDEX([4]Weighting!$B$2:$C$40,MATCH(X$1,[4]Weighting!$A$2:$A$10,0),MATCH(X12,[4]Weighting!$B$1:$C$1,0)),INDEX([4]Weighting!$B$2:$C$40,MATCH(Y$1,[4]Weighting!$A$2:$A$10,0),MATCH(Y12,[4]Weighting!$B$1:$C$1,0)),INDEX([4]Weighting!$B$2:$C$40,MATCH(Z$1,[4]Weighting!$A$2:$A$10,0),MATCH(Z12,[4]Weighting!$B$1:$C$1,0)),INDEX([4]Weighting!$B$2:$C$40,MATCH(AA$1,[4]Weighting!$A$2:$A$10,0),MATCH(AA12,[4]Weighting!$B$1:$C$1,0)),INDEX([4]Weighting!$B$2:$C$40,MATCH(AB$1,[4]Weighting!$A$2:$A$10,0),MATCH(AB12,[4]Weighting!$B$1:$C$1,0)),INDEX([4]Weighting!$B$2:$C$40,MATCH(AC$1,[4]Weighting!$A$2:$A$10,0),MATCH(AC12,[4]Weighting!$B$1:$C$1,0)),INDEX([4]Weighting!$B$2:$C$40,MATCH(AD$1,[4]Weighting!$A$2:$A$10,0),MATCH(AD12,[4]Weighting!$B$1:$C$1,0)),VLOOKUP(H12,'[4]List table'!$C$2:$D$5,2,0))</f>
        <v>#N/A</v>
      </c>
      <c r="V12" s="22"/>
      <c r="W12" s="22"/>
      <c r="X12" s="22"/>
      <c r="Y12" s="22"/>
      <c r="Z12" s="22"/>
      <c r="AA12" s="22"/>
      <c r="AB12" s="22"/>
      <c r="AC12" s="22"/>
      <c r="AD12" s="22"/>
      <c r="AE12" s="22"/>
      <c r="AF12" s="22"/>
      <c r="AG12" s="23" t="s">
        <v>231</v>
      </c>
      <c r="AH12" s="23"/>
    </row>
    <row r="13" spans="1:35" ht="30" x14ac:dyDescent="0.25">
      <c r="A13" s="31" t="s">
        <v>39</v>
      </c>
      <c r="B13" s="20" t="s">
        <v>40</v>
      </c>
      <c r="C13" s="20" t="s">
        <v>232</v>
      </c>
      <c r="D13" s="32" t="s">
        <v>41</v>
      </c>
      <c r="E13" s="20" t="s">
        <v>38</v>
      </c>
      <c r="F13" s="20" t="s">
        <v>377</v>
      </c>
      <c r="G13" s="18" t="s">
        <v>233</v>
      </c>
      <c r="H13" s="20" t="s">
        <v>224</v>
      </c>
      <c r="I13" s="20" t="s">
        <v>226</v>
      </c>
      <c r="J13" s="20" t="s">
        <v>378</v>
      </c>
      <c r="K13" s="15"/>
      <c r="L13" s="15"/>
      <c r="M13" s="15"/>
      <c r="N13" s="15" t="s">
        <v>199</v>
      </c>
      <c r="O13" s="15" t="s">
        <v>199</v>
      </c>
      <c r="P13" s="15"/>
      <c r="Q13" s="15"/>
      <c r="R13" s="15"/>
      <c r="S13" s="19" t="str">
        <f t="shared" si="0"/>
        <v>Yes</v>
      </c>
      <c r="T13" s="20"/>
      <c r="U13" s="21">
        <f>SUM(INDEX([4]Weighting!$B$2:$C$40,MATCH(V$1,[4]Weighting!$A$2:$A$10,0),MATCH(V13,[4]Weighting!$B$1:$C$1,0)),INDEX([4]Weighting!$B$2:$C$40,MATCH(W$1,[4]Weighting!$A$2:$A$10,0),MATCH(W13,[4]Weighting!$B$1:$C$1,0)),INDEX([4]Weighting!$B$2:$C$40,MATCH(X$1,[4]Weighting!$A$2:$A$10,0),MATCH(X13,[4]Weighting!$B$1:$C$1,0)),INDEX([4]Weighting!$B$2:$C$40,MATCH(Y$1,[4]Weighting!$A$2:$A$10,0),MATCH(Y13,[4]Weighting!$B$1:$C$1,0)),INDEX([4]Weighting!$B$2:$C$40,MATCH(Z$1,[4]Weighting!$A$2:$A$10,0),MATCH(Z13,[4]Weighting!$B$1:$C$1,0)),INDEX([4]Weighting!$B$2:$C$40,MATCH(AA$1,[4]Weighting!$A$2:$A$10,0),MATCH(AA13,[4]Weighting!$B$1:$C$1,0)),INDEX([4]Weighting!$B$2:$C$40,MATCH(AB$1,[4]Weighting!$A$2:$A$10,0),MATCH(AB13,[4]Weighting!$B$1:$C$1,0)),INDEX([4]Weighting!$B$2:$C$40,MATCH(AC$1,[4]Weighting!$A$2:$A$10,0),MATCH(AC13,[4]Weighting!$B$1:$C$1,0)),INDEX([4]Weighting!$B$2:$C$40,MATCH(AD$1,[4]Weighting!$A$2:$A$10,0),MATCH(AD13,[4]Weighting!$B$1:$C$1,0)),VLOOKUP(H13,'[4]List table'!$C$2:$D$5,2,0))</f>
        <v>9</v>
      </c>
      <c r="V13" s="22" t="s">
        <v>199</v>
      </c>
      <c r="W13" s="22" t="s">
        <v>226</v>
      </c>
      <c r="X13" s="22" t="s">
        <v>226</v>
      </c>
      <c r="Y13" s="22" t="s">
        <v>226</v>
      </c>
      <c r="Z13" s="22" t="s">
        <v>226</v>
      </c>
      <c r="AA13" s="22" t="s">
        <v>226</v>
      </c>
      <c r="AB13" s="22" t="s">
        <v>226</v>
      </c>
      <c r="AC13" s="22" t="s">
        <v>199</v>
      </c>
      <c r="AD13" s="22" t="s">
        <v>226</v>
      </c>
      <c r="AE13" s="22" t="s">
        <v>226</v>
      </c>
      <c r="AF13" s="22"/>
      <c r="AG13" s="33" t="s">
        <v>234</v>
      </c>
    </row>
    <row r="14" spans="1:35" ht="30" x14ac:dyDescent="0.25">
      <c r="A14" s="31" t="s">
        <v>42</v>
      </c>
      <c r="B14" s="20" t="s">
        <v>43</v>
      </c>
      <c r="C14" s="20" t="s">
        <v>235</v>
      </c>
      <c r="D14" s="20" t="s">
        <v>41</v>
      </c>
      <c r="E14" s="20" t="s">
        <v>38</v>
      </c>
      <c r="F14" s="20" t="s">
        <v>379</v>
      </c>
      <c r="G14" s="18" t="s">
        <v>236</v>
      </c>
      <c r="H14" s="20" t="s">
        <v>224</v>
      </c>
      <c r="I14" s="20" t="s">
        <v>226</v>
      </c>
      <c r="J14" s="20" t="s">
        <v>379</v>
      </c>
      <c r="K14" s="15"/>
      <c r="L14" s="15"/>
      <c r="M14" s="15"/>
      <c r="N14" s="15" t="s">
        <v>199</v>
      </c>
      <c r="O14" s="15" t="s">
        <v>199</v>
      </c>
      <c r="P14" s="15"/>
      <c r="Q14" s="15"/>
      <c r="R14" s="15"/>
      <c r="S14" s="19" t="str">
        <f t="shared" si="0"/>
        <v>Yes</v>
      </c>
      <c r="T14" s="20"/>
      <c r="U14" s="21">
        <f>SUM(INDEX([4]Weighting!$B$2:$C$40,MATCH(V$1,[4]Weighting!$A$2:$A$10,0),MATCH(V14,[4]Weighting!$B$1:$C$1,0)),INDEX([4]Weighting!$B$2:$C$40,MATCH(W$1,[4]Weighting!$A$2:$A$10,0),MATCH(W14,[4]Weighting!$B$1:$C$1,0)),INDEX([4]Weighting!$B$2:$C$40,MATCH(X$1,[4]Weighting!$A$2:$A$10,0),MATCH(X14,[4]Weighting!$B$1:$C$1,0)),INDEX([4]Weighting!$B$2:$C$40,MATCH(Y$1,[4]Weighting!$A$2:$A$10,0),MATCH(Y14,[4]Weighting!$B$1:$C$1,0)),INDEX([4]Weighting!$B$2:$C$40,MATCH(Z$1,[4]Weighting!$A$2:$A$10,0),MATCH(Z14,[4]Weighting!$B$1:$C$1,0)),INDEX([4]Weighting!$B$2:$C$40,MATCH(AA$1,[4]Weighting!$A$2:$A$10,0),MATCH(AA14,[4]Weighting!$B$1:$C$1,0)),INDEX([4]Weighting!$B$2:$C$40,MATCH(AB$1,[4]Weighting!$A$2:$A$10,0),MATCH(AB14,[4]Weighting!$B$1:$C$1,0)),INDEX([4]Weighting!$B$2:$C$40,MATCH(AC$1,[4]Weighting!$A$2:$A$10,0),MATCH(AC14,[4]Weighting!$B$1:$C$1,0)),INDEX([4]Weighting!$B$2:$C$40,MATCH(AD$1,[4]Weighting!$A$2:$A$10,0),MATCH(AD14,[4]Weighting!$B$1:$C$1,0)),VLOOKUP(H14,'[4]List table'!$C$2:$D$5,2,0))</f>
        <v>14</v>
      </c>
      <c r="V14" s="22" t="s">
        <v>199</v>
      </c>
      <c r="W14" s="22" t="s">
        <v>199</v>
      </c>
      <c r="X14" s="22" t="s">
        <v>226</v>
      </c>
      <c r="Y14" s="22" t="s">
        <v>199</v>
      </c>
      <c r="Z14" s="22" t="s">
        <v>226</v>
      </c>
      <c r="AA14" s="22" t="s">
        <v>226</v>
      </c>
      <c r="AB14" s="22" t="s">
        <v>226</v>
      </c>
      <c r="AC14" s="22" t="s">
        <v>226</v>
      </c>
      <c r="AD14" s="22" t="s">
        <v>199</v>
      </c>
      <c r="AE14" s="22" t="s">
        <v>226</v>
      </c>
      <c r="AF14" s="22"/>
      <c r="AG14" s="24" t="s">
        <v>237</v>
      </c>
    </row>
    <row r="15" spans="1:35" ht="30" x14ac:dyDescent="0.25">
      <c r="A15" s="31" t="s">
        <v>44</v>
      </c>
      <c r="B15" s="20" t="s">
        <v>45</v>
      </c>
      <c r="C15" s="20" t="s">
        <v>238</v>
      </c>
      <c r="D15" s="20" t="s">
        <v>41</v>
      </c>
      <c r="E15" s="20" t="s">
        <v>38</v>
      </c>
      <c r="F15" s="20"/>
      <c r="G15" s="18" t="s">
        <v>233</v>
      </c>
      <c r="H15" s="20" t="s">
        <v>224</v>
      </c>
      <c r="I15" s="20" t="s">
        <v>226</v>
      </c>
      <c r="J15" s="20" t="s">
        <v>378</v>
      </c>
      <c r="K15" s="15"/>
      <c r="L15" s="15"/>
      <c r="M15" s="15"/>
      <c r="N15" s="15" t="s">
        <v>199</v>
      </c>
      <c r="O15" s="15" t="s">
        <v>199</v>
      </c>
      <c r="P15" s="15"/>
      <c r="Q15" s="15"/>
      <c r="R15" s="15"/>
      <c r="S15" s="19" t="str">
        <f t="shared" si="0"/>
        <v>Yes</v>
      </c>
      <c r="T15" s="20"/>
      <c r="U15" s="21">
        <f>SUM(INDEX([4]Weighting!$B$2:$C$40,MATCH(V$1,[4]Weighting!$A$2:$A$10,0),MATCH(V15,[4]Weighting!$B$1:$C$1,0)),INDEX([4]Weighting!$B$2:$C$40,MATCH(W$1,[4]Weighting!$A$2:$A$10,0),MATCH(W15,[4]Weighting!$B$1:$C$1,0)),INDEX([4]Weighting!$B$2:$C$40,MATCH(X$1,[4]Weighting!$A$2:$A$10,0),MATCH(X15,[4]Weighting!$B$1:$C$1,0)),INDEX([4]Weighting!$B$2:$C$40,MATCH(Y$1,[4]Weighting!$A$2:$A$10,0),MATCH(Y15,[4]Weighting!$B$1:$C$1,0)),INDEX([4]Weighting!$B$2:$C$40,MATCH(Z$1,[4]Weighting!$A$2:$A$10,0),MATCH(Z15,[4]Weighting!$B$1:$C$1,0)),INDEX([4]Weighting!$B$2:$C$40,MATCH(AA$1,[4]Weighting!$A$2:$A$10,0),MATCH(AA15,[4]Weighting!$B$1:$C$1,0)),INDEX([4]Weighting!$B$2:$C$40,MATCH(AB$1,[4]Weighting!$A$2:$A$10,0),MATCH(AB15,[4]Weighting!$B$1:$C$1,0)),INDEX([4]Weighting!$B$2:$C$40,MATCH(AC$1,[4]Weighting!$A$2:$A$10,0),MATCH(AC15,[4]Weighting!$B$1:$C$1,0)),INDEX([4]Weighting!$B$2:$C$40,MATCH(AD$1,[4]Weighting!$A$2:$A$10,0),MATCH(AD15,[4]Weighting!$B$1:$C$1,0)),VLOOKUP(H15,'[4]List table'!$C$2:$D$5,2,0))</f>
        <v>7</v>
      </c>
      <c r="V15" s="22" t="s">
        <v>199</v>
      </c>
      <c r="W15" s="22" t="s">
        <v>226</v>
      </c>
      <c r="X15" s="22" t="s">
        <v>226</v>
      </c>
      <c r="Y15" s="22" t="s">
        <v>226</v>
      </c>
      <c r="Z15" s="22" t="s">
        <v>226</v>
      </c>
      <c r="AA15" s="22" t="s">
        <v>226</v>
      </c>
      <c r="AB15" s="22" t="s">
        <v>226</v>
      </c>
      <c r="AC15" s="22" t="s">
        <v>226</v>
      </c>
      <c r="AD15" s="22" t="s">
        <v>226</v>
      </c>
      <c r="AE15" s="22" t="s">
        <v>226</v>
      </c>
      <c r="AF15" s="22"/>
      <c r="AG15" s="24" t="s">
        <v>239</v>
      </c>
    </row>
    <row r="16" spans="1:35" ht="40.5" customHeight="1" x14ac:dyDescent="0.25">
      <c r="A16" s="31" t="s">
        <v>46</v>
      </c>
      <c r="B16" s="20" t="s">
        <v>47</v>
      </c>
      <c r="C16" s="20" t="s">
        <v>240</v>
      </c>
      <c r="D16" s="30" t="s">
        <v>444</v>
      </c>
      <c r="E16" s="20" t="s">
        <v>38</v>
      </c>
      <c r="F16" s="20" t="s">
        <v>380</v>
      </c>
      <c r="G16" s="17"/>
      <c r="H16" s="20" t="s">
        <v>224</v>
      </c>
      <c r="I16" s="20" t="s">
        <v>226</v>
      </c>
      <c r="J16" s="20" t="s">
        <v>374</v>
      </c>
      <c r="K16" s="15"/>
      <c r="L16" s="15"/>
      <c r="M16" s="15"/>
      <c r="N16" s="15" t="s">
        <v>199</v>
      </c>
      <c r="O16" s="15" t="s">
        <v>199</v>
      </c>
      <c r="P16" s="15"/>
      <c r="Q16" s="15"/>
      <c r="R16" s="15"/>
      <c r="S16" s="34" t="s">
        <v>226</v>
      </c>
      <c r="T16" s="20" t="s">
        <v>445</v>
      </c>
      <c r="U16" s="21">
        <f>SUM(INDEX([4]Weighting!$B$2:$C$40,MATCH(V$1,[4]Weighting!$A$2:$A$10,0),MATCH(V16,[4]Weighting!$B$1:$C$1,0)),INDEX([4]Weighting!$B$2:$C$40,MATCH(W$1,[4]Weighting!$A$2:$A$10,0),MATCH(W16,[4]Weighting!$B$1:$C$1,0)),INDEX([4]Weighting!$B$2:$C$40,MATCH(X$1,[4]Weighting!$A$2:$A$10,0),MATCH(X16,[4]Weighting!$B$1:$C$1,0)),INDEX([4]Weighting!$B$2:$C$40,MATCH(Y$1,[4]Weighting!$A$2:$A$10,0),MATCH(Y16,[4]Weighting!$B$1:$C$1,0)),INDEX([4]Weighting!$B$2:$C$40,MATCH(Z$1,[4]Weighting!$A$2:$A$10,0),MATCH(Z16,[4]Weighting!$B$1:$C$1,0)),INDEX([4]Weighting!$B$2:$C$40,MATCH(AA$1,[4]Weighting!$A$2:$A$10,0),MATCH(AA16,[4]Weighting!$B$1:$C$1,0)),INDEX([4]Weighting!$B$2:$C$40,MATCH(AB$1,[4]Weighting!$A$2:$A$10,0),MATCH(AB16,[4]Weighting!$B$1:$C$1,0)),INDEX([4]Weighting!$B$2:$C$40,MATCH(AC$1,[4]Weighting!$A$2:$A$10,0),MATCH(AC16,[4]Weighting!$B$1:$C$1,0)),INDEX([4]Weighting!$B$2:$C$40,MATCH(AD$1,[4]Weighting!$A$2:$A$10,0),MATCH(AD16,[4]Weighting!$B$1:$C$1,0)),VLOOKUP(H16,'[4]List table'!$C$2:$D$5,2,0))</f>
        <v>8</v>
      </c>
      <c r="V16" s="22" t="s">
        <v>199</v>
      </c>
      <c r="W16" s="22" t="s">
        <v>226</v>
      </c>
      <c r="X16" s="22" t="s">
        <v>226</v>
      </c>
      <c r="Y16" s="22" t="s">
        <v>226</v>
      </c>
      <c r="Z16" s="22" t="s">
        <v>199</v>
      </c>
      <c r="AA16" s="22" t="s">
        <v>226</v>
      </c>
      <c r="AB16" s="22" t="s">
        <v>226</v>
      </c>
      <c r="AC16" s="22" t="s">
        <v>199</v>
      </c>
      <c r="AD16" s="22" t="s">
        <v>226</v>
      </c>
      <c r="AE16" s="22" t="s">
        <v>226</v>
      </c>
      <c r="AF16" s="22"/>
      <c r="AG16" s="24" t="s">
        <v>241</v>
      </c>
    </row>
    <row r="17" spans="1:33" s="42" customFormat="1" ht="122.65" customHeight="1" x14ac:dyDescent="0.25">
      <c r="A17" s="35" t="s">
        <v>424</v>
      </c>
      <c r="B17" s="36" t="s">
        <v>425</v>
      </c>
      <c r="C17" s="36" t="s">
        <v>426</v>
      </c>
      <c r="D17" s="36" t="s">
        <v>446</v>
      </c>
      <c r="E17" s="36" t="s">
        <v>38</v>
      </c>
      <c r="F17" s="36" t="s">
        <v>428</v>
      </c>
      <c r="G17" s="37"/>
      <c r="H17" s="36" t="s">
        <v>224</v>
      </c>
      <c r="I17" s="36" t="s">
        <v>226</v>
      </c>
      <c r="J17" s="36" t="s">
        <v>97</v>
      </c>
      <c r="K17" s="38"/>
      <c r="L17" s="38"/>
      <c r="M17" s="38"/>
      <c r="N17" s="38" t="s">
        <v>199</v>
      </c>
      <c r="O17" s="38" t="s">
        <v>199</v>
      </c>
      <c r="P17" s="38"/>
      <c r="Q17" s="38"/>
      <c r="R17" s="38"/>
      <c r="S17" s="39" t="str">
        <f t="shared" si="0"/>
        <v>Yes</v>
      </c>
      <c r="T17" s="36"/>
      <c r="U17" s="40">
        <f>SUM(INDEX([4]Weighting!$B$2:$C$40,MATCH(V$1,[4]Weighting!$A$2:$A$10,0),MATCH(V17,[4]Weighting!$B$1:$C$1,0)),INDEX([4]Weighting!$B$2:$C$40,MATCH(W$1,[4]Weighting!$A$2:$A$10,0),MATCH(W17,[4]Weighting!$B$1:$C$1,0)),INDEX([4]Weighting!$B$2:$C$40,MATCH(X$1,[4]Weighting!$A$2:$A$10,0),MATCH(X17,[4]Weighting!$B$1:$C$1,0)),INDEX([4]Weighting!$B$2:$C$40,MATCH(Y$1,[4]Weighting!$A$2:$A$10,0),MATCH(Y17,[4]Weighting!$B$1:$C$1,0)),INDEX([4]Weighting!$B$2:$C$40,MATCH(Z$1,[4]Weighting!$A$2:$A$10,0),MATCH(Z17,[4]Weighting!$B$1:$C$1,0)),INDEX([4]Weighting!$B$2:$C$40,MATCH(AA$1,[4]Weighting!$A$2:$A$10,0),MATCH(AA17,[4]Weighting!$B$1:$C$1,0)),INDEX([4]Weighting!$B$2:$C$40,MATCH(AB$1,[4]Weighting!$A$2:$A$10,0),MATCH(AB17,[4]Weighting!$B$1:$C$1,0)),INDEX([4]Weighting!$B$2:$C$40,MATCH(AC$1,[4]Weighting!$A$2:$A$10,0),MATCH(AC17,[4]Weighting!$B$1:$C$1,0)),INDEX([4]Weighting!$B$2:$C$40,MATCH(AD$1,[4]Weighting!$A$2:$A$10,0),MATCH(AD17,[4]Weighting!$B$1:$C$1,0)),VLOOKUP(H17,'[4]List table'!$C$2:$D$5,2,0))</f>
        <v>8</v>
      </c>
      <c r="V17" s="41" t="s">
        <v>199</v>
      </c>
      <c r="W17" s="41" t="s">
        <v>226</v>
      </c>
      <c r="X17" s="41" t="s">
        <v>199</v>
      </c>
      <c r="Y17" s="41" t="s">
        <v>226</v>
      </c>
      <c r="Z17" s="41" t="s">
        <v>226</v>
      </c>
      <c r="AA17" s="41" t="s">
        <v>226</v>
      </c>
      <c r="AB17" s="41" t="s">
        <v>226</v>
      </c>
      <c r="AC17" s="41" t="s">
        <v>199</v>
      </c>
      <c r="AD17" s="41" t="s">
        <v>226</v>
      </c>
      <c r="AE17" s="41" t="s">
        <v>226</v>
      </c>
      <c r="AF17" s="41"/>
      <c r="AG17" s="42" t="s">
        <v>429</v>
      </c>
    </row>
    <row r="18" spans="1:33" ht="30" x14ac:dyDescent="0.25">
      <c r="A18" s="31" t="s">
        <v>48</v>
      </c>
      <c r="B18" s="20" t="s">
        <v>49</v>
      </c>
      <c r="C18" s="20" t="s">
        <v>242</v>
      </c>
      <c r="D18" s="20" t="s">
        <v>41</v>
      </c>
      <c r="E18" s="20" t="s">
        <v>38</v>
      </c>
      <c r="F18" s="20" t="s">
        <v>377</v>
      </c>
      <c r="G18" s="18" t="s">
        <v>233</v>
      </c>
      <c r="H18" s="20" t="s">
        <v>224</v>
      </c>
      <c r="I18" s="20" t="s">
        <v>226</v>
      </c>
      <c r="J18" s="20" t="s">
        <v>378</v>
      </c>
      <c r="K18" s="15"/>
      <c r="L18" s="15"/>
      <c r="M18" s="15"/>
      <c r="N18" s="15" t="s">
        <v>199</v>
      </c>
      <c r="O18" s="15" t="s">
        <v>199</v>
      </c>
      <c r="P18" s="15"/>
      <c r="Q18" s="15"/>
      <c r="R18" s="15"/>
      <c r="S18" s="19" t="str">
        <f t="shared" si="0"/>
        <v>Yes</v>
      </c>
      <c r="T18" s="20"/>
      <c r="U18" s="21">
        <f>SUM(INDEX([4]Weighting!$B$2:$C$40,MATCH(V$1,[4]Weighting!$A$2:$A$10,0),MATCH(V18,[4]Weighting!$B$1:$C$1,0)),INDEX([4]Weighting!$B$2:$C$40,MATCH(W$1,[4]Weighting!$A$2:$A$10,0),MATCH(W18,[4]Weighting!$B$1:$C$1,0)),INDEX([4]Weighting!$B$2:$C$40,MATCH(X$1,[4]Weighting!$A$2:$A$10,0),MATCH(X18,[4]Weighting!$B$1:$C$1,0)),INDEX([4]Weighting!$B$2:$C$40,MATCH(Y$1,[4]Weighting!$A$2:$A$10,0),MATCH(Y18,[4]Weighting!$B$1:$C$1,0)),INDEX([4]Weighting!$B$2:$C$40,MATCH(Z$1,[4]Weighting!$A$2:$A$10,0),MATCH(Z18,[4]Weighting!$B$1:$C$1,0)),INDEX([4]Weighting!$B$2:$C$40,MATCH(AA$1,[4]Weighting!$A$2:$A$10,0),MATCH(AA18,[4]Weighting!$B$1:$C$1,0)),INDEX([4]Weighting!$B$2:$C$40,MATCH(AB$1,[4]Weighting!$A$2:$A$10,0),MATCH(AB18,[4]Weighting!$B$1:$C$1,0)),INDEX([4]Weighting!$B$2:$C$40,MATCH(AC$1,[4]Weighting!$A$2:$A$10,0),MATCH(AC18,[4]Weighting!$B$1:$C$1,0)),INDEX([4]Weighting!$B$2:$C$40,MATCH(AD$1,[4]Weighting!$A$2:$A$10,0),MATCH(AD18,[4]Weighting!$B$1:$C$1,0)),VLOOKUP(H18,'[4]List table'!$C$2:$D$5,2,0))</f>
        <v>12</v>
      </c>
      <c r="V18" s="22" t="s">
        <v>199</v>
      </c>
      <c r="W18" s="22" t="s">
        <v>199</v>
      </c>
      <c r="X18" s="22" t="s">
        <v>199</v>
      </c>
      <c r="Y18" s="22" t="s">
        <v>226</v>
      </c>
      <c r="Z18" s="22" t="s">
        <v>199</v>
      </c>
      <c r="AA18" s="22" t="s">
        <v>226</v>
      </c>
      <c r="AB18" s="22" t="s">
        <v>199</v>
      </c>
      <c r="AC18" s="22" t="s">
        <v>199</v>
      </c>
      <c r="AD18" s="22" t="s">
        <v>226</v>
      </c>
      <c r="AE18" s="22" t="s">
        <v>226</v>
      </c>
      <c r="AF18" s="22"/>
      <c r="AG18" s="24" t="s">
        <v>243</v>
      </c>
    </row>
    <row r="19" spans="1:33" ht="30" x14ac:dyDescent="0.25">
      <c r="A19" s="31" t="s">
        <v>50</v>
      </c>
      <c r="B19" s="20" t="s">
        <v>51</v>
      </c>
      <c r="C19" s="20" t="s">
        <v>244</v>
      </c>
      <c r="D19" s="30" t="s">
        <v>444</v>
      </c>
      <c r="E19" s="20" t="s">
        <v>38</v>
      </c>
      <c r="F19" s="20" t="s">
        <v>381</v>
      </c>
      <c r="G19" s="17"/>
      <c r="H19" s="20" t="s">
        <v>224</v>
      </c>
      <c r="I19" s="20" t="s">
        <v>226</v>
      </c>
      <c r="J19" s="20" t="s">
        <v>382</v>
      </c>
      <c r="K19" s="15"/>
      <c r="L19" s="15"/>
      <c r="M19" s="15"/>
      <c r="N19" s="15" t="s">
        <v>199</v>
      </c>
      <c r="O19" s="15" t="s">
        <v>226</v>
      </c>
      <c r="P19" s="15"/>
      <c r="Q19" s="15"/>
      <c r="R19" s="15"/>
      <c r="S19" s="19" t="str">
        <f t="shared" si="0"/>
        <v>No</v>
      </c>
      <c r="T19" s="20"/>
      <c r="U19" s="21" t="e">
        <f>SUM(INDEX([4]Weighting!$B$2:$C$40,MATCH(V$1,[4]Weighting!$A$2:$A$10,0),MATCH(V19,[4]Weighting!$B$1:$C$1,0)),INDEX([4]Weighting!$B$2:$C$40,MATCH(W$1,[4]Weighting!$A$2:$A$10,0),MATCH(W19,[4]Weighting!$B$1:$C$1,0)),INDEX([4]Weighting!$B$2:$C$40,MATCH(X$1,[4]Weighting!$A$2:$A$10,0),MATCH(X19,[4]Weighting!$B$1:$C$1,0)),INDEX([4]Weighting!$B$2:$C$40,MATCH(Y$1,[4]Weighting!$A$2:$A$10,0),MATCH(Y19,[4]Weighting!$B$1:$C$1,0)),INDEX([4]Weighting!$B$2:$C$40,MATCH(Z$1,[4]Weighting!$A$2:$A$10,0),MATCH(Z19,[4]Weighting!$B$1:$C$1,0)),INDEX([4]Weighting!$B$2:$C$40,MATCH(AA$1,[4]Weighting!$A$2:$A$10,0),MATCH(AA19,[4]Weighting!$B$1:$C$1,0)),INDEX([4]Weighting!$B$2:$C$40,MATCH(AB$1,[4]Weighting!$A$2:$A$10,0),MATCH(AB19,[4]Weighting!$B$1:$C$1,0)),INDEX([4]Weighting!$B$2:$C$40,MATCH(AC$1,[4]Weighting!$A$2:$A$10,0),MATCH(AC19,[4]Weighting!$B$1:$C$1,0)),INDEX([4]Weighting!$B$2:$C$40,MATCH(AD$1,[4]Weighting!$A$2:$A$10,0),MATCH(AD19,[4]Weighting!$B$1:$C$1,0)),VLOOKUP(H19,'[4]List table'!$C$2:$D$5,2,0))</f>
        <v>#N/A</v>
      </c>
      <c r="V19" s="22"/>
      <c r="W19" s="22"/>
      <c r="X19" s="22"/>
      <c r="Y19" s="22"/>
      <c r="Z19" s="22"/>
      <c r="AA19" s="22"/>
      <c r="AB19" s="22"/>
      <c r="AC19" s="22"/>
      <c r="AD19" s="22"/>
      <c r="AE19" s="22"/>
      <c r="AF19" s="22"/>
      <c r="AG19" s="24" t="s">
        <v>245</v>
      </c>
    </row>
    <row r="20" spans="1:33" ht="75" x14ac:dyDescent="0.25">
      <c r="A20" s="31" t="s">
        <v>52</v>
      </c>
      <c r="B20" s="20" t="s">
        <v>53</v>
      </c>
      <c r="C20" s="20" t="s">
        <v>246</v>
      </c>
      <c r="D20" s="20" t="s">
        <v>447</v>
      </c>
      <c r="E20" s="20" t="s">
        <v>55</v>
      </c>
      <c r="F20" s="20" t="s">
        <v>383</v>
      </c>
      <c r="G20" s="17" t="s">
        <v>248</v>
      </c>
      <c r="H20" s="20" t="s">
        <v>224</v>
      </c>
      <c r="I20" s="20" t="s">
        <v>226</v>
      </c>
      <c r="J20" s="20" t="s">
        <v>378</v>
      </c>
      <c r="K20" s="15"/>
      <c r="L20" s="15"/>
      <c r="M20" s="15"/>
      <c r="N20" s="15" t="s">
        <v>199</v>
      </c>
      <c r="O20" s="15" t="s">
        <v>199</v>
      </c>
      <c r="P20" s="15"/>
      <c r="Q20" s="15"/>
      <c r="R20" s="15"/>
      <c r="S20" s="19" t="str">
        <f t="shared" si="0"/>
        <v>Yes</v>
      </c>
      <c r="T20" s="20"/>
      <c r="U20" s="21">
        <f>SUM(INDEX([4]Weighting!$B$2:$C$40,MATCH(V$1,[4]Weighting!$A$2:$A$10,0),MATCH(V20,[4]Weighting!$B$1:$C$1,0)),INDEX([4]Weighting!$B$2:$C$40,MATCH(W$1,[4]Weighting!$A$2:$A$10,0),MATCH(W20,[4]Weighting!$B$1:$C$1,0)),INDEX([4]Weighting!$B$2:$C$40,MATCH(X$1,[4]Weighting!$A$2:$A$10,0),MATCH(X20,[4]Weighting!$B$1:$C$1,0)),INDEX([4]Weighting!$B$2:$C$40,MATCH(Y$1,[4]Weighting!$A$2:$A$10,0),MATCH(Y20,[4]Weighting!$B$1:$C$1,0)),INDEX([4]Weighting!$B$2:$C$40,MATCH(Z$1,[4]Weighting!$A$2:$A$10,0),MATCH(Z20,[4]Weighting!$B$1:$C$1,0)),INDEX([4]Weighting!$B$2:$C$40,MATCH(AA$1,[4]Weighting!$A$2:$A$10,0),MATCH(AA20,[4]Weighting!$B$1:$C$1,0)),INDEX([4]Weighting!$B$2:$C$40,MATCH(AB$1,[4]Weighting!$A$2:$A$10,0),MATCH(AB20,[4]Weighting!$B$1:$C$1,0)),INDEX([4]Weighting!$B$2:$C$40,MATCH(AC$1,[4]Weighting!$A$2:$A$10,0),MATCH(AC20,[4]Weighting!$B$1:$C$1,0)),INDEX([4]Weighting!$B$2:$C$40,MATCH(AD$1,[4]Weighting!$A$2:$A$10,0),MATCH(AD20,[4]Weighting!$B$1:$C$1,0)),VLOOKUP(H20,'[4]List table'!$C$2:$D$5,2,0))</f>
        <v>14</v>
      </c>
      <c r="V20" s="22" t="s">
        <v>199</v>
      </c>
      <c r="W20" s="22" t="s">
        <v>199</v>
      </c>
      <c r="X20" s="22" t="s">
        <v>226</v>
      </c>
      <c r="Y20" s="22" t="s">
        <v>199</v>
      </c>
      <c r="Z20" s="22" t="s">
        <v>199</v>
      </c>
      <c r="AA20" s="22" t="s">
        <v>226</v>
      </c>
      <c r="AB20" s="22" t="s">
        <v>226</v>
      </c>
      <c r="AC20" s="22" t="s">
        <v>199</v>
      </c>
      <c r="AD20" s="22" t="s">
        <v>226</v>
      </c>
      <c r="AE20" s="22" t="s">
        <v>226</v>
      </c>
      <c r="AF20" s="22"/>
    </row>
    <row r="21" spans="1:33" ht="90" x14ac:dyDescent="0.25">
      <c r="A21" s="31" t="s">
        <v>56</v>
      </c>
      <c r="B21" s="20" t="s">
        <v>57</v>
      </c>
      <c r="C21" s="20" t="s">
        <v>249</v>
      </c>
      <c r="D21" s="20" t="s">
        <v>58</v>
      </c>
      <c r="E21" s="20" t="s">
        <v>55</v>
      </c>
      <c r="F21" s="20" t="s">
        <v>384</v>
      </c>
      <c r="G21" s="17"/>
      <c r="H21" s="20" t="s">
        <v>224</v>
      </c>
      <c r="I21" s="20" t="s">
        <v>226</v>
      </c>
      <c r="J21" s="20" t="s">
        <v>378</v>
      </c>
      <c r="K21" s="15"/>
      <c r="L21" s="15"/>
      <c r="M21" s="15"/>
      <c r="N21" s="15" t="s">
        <v>199</v>
      </c>
      <c r="O21" s="15" t="s">
        <v>199</v>
      </c>
      <c r="P21" s="15"/>
      <c r="Q21" s="15"/>
      <c r="R21" s="15"/>
      <c r="S21" s="19" t="str">
        <f t="shared" si="0"/>
        <v>Yes</v>
      </c>
      <c r="T21" s="20"/>
      <c r="U21" s="21">
        <f>SUM(INDEX([4]Weighting!$B$2:$C$40,MATCH(V$1,[4]Weighting!$A$2:$A$10,0),MATCH(V21,[4]Weighting!$B$1:$C$1,0)),INDEX([4]Weighting!$B$2:$C$40,MATCH(W$1,[4]Weighting!$A$2:$A$10,0),MATCH(W21,[4]Weighting!$B$1:$C$1,0)),INDEX([4]Weighting!$B$2:$C$40,MATCH(X$1,[4]Weighting!$A$2:$A$10,0),MATCH(X21,[4]Weighting!$B$1:$C$1,0)),INDEX([4]Weighting!$B$2:$C$40,MATCH(Y$1,[4]Weighting!$A$2:$A$10,0),MATCH(Y21,[4]Weighting!$B$1:$C$1,0)),INDEX([4]Weighting!$B$2:$C$40,MATCH(Z$1,[4]Weighting!$A$2:$A$10,0),MATCH(Z21,[4]Weighting!$B$1:$C$1,0)),INDEX([4]Weighting!$B$2:$C$40,MATCH(AA$1,[4]Weighting!$A$2:$A$10,0),MATCH(AA21,[4]Weighting!$B$1:$C$1,0)),INDEX([4]Weighting!$B$2:$C$40,MATCH(AB$1,[4]Weighting!$A$2:$A$10,0),MATCH(AB21,[4]Weighting!$B$1:$C$1,0)),INDEX([4]Weighting!$B$2:$C$40,MATCH(AC$1,[4]Weighting!$A$2:$A$10,0),MATCH(AC21,[4]Weighting!$B$1:$C$1,0)),INDEX([4]Weighting!$B$2:$C$40,MATCH(AD$1,[4]Weighting!$A$2:$A$10,0),MATCH(AD21,[4]Weighting!$B$1:$C$1,0)),VLOOKUP(H21,'[4]List table'!$C$2:$D$5,2,0))</f>
        <v>13</v>
      </c>
      <c r="V21" s="22" t="s">
        <v>199</v>
      </c>
      <c r="W21" s="22" t="s">
        <v>199</v>
      </c>
      <c r="X21" s="22" t="s">
        <v>226</v>
      </c>
      <c r="Y21" s="22" t="s">
        <v>199</v>
      </c>
      <c r="Z21" s="22" t="s">
        <v>226</v>
      </c>
      <c r="AA21" s="22" t="s">
        <v>226</v>
      </c>
      <c r="AB21" s="22" t="s">
        <v>226</v>
      </c>
      <c r="AC21" s="22" t="s">
        <v>226</v>
      </c>
      <c r="AD21" s="22" t="s">
        <v>226</v>
      </c>
      <c r="AE21" s="22" t="s">
        <v>199</v>
      </c>
      <c r="AF21" s="22" t="s">
        <v>430</v>
      </c>
    </row>
    <row r="22" spans="1:33" ht="60" x14ac:dyDescent="0.25">
      <c r="A22" s="31" t="s">
        <v>59</v>
      </c>
      <c r="B22" s="20" t="s">
        <v>60</v>
      </c>
      <c r="C22" s="20" t="s">
        <v>250</v>
      </c>
      <c r="D22" s="20" t="s">
        <v>61</v>
      </c>
      <c r="E22" s="20" t="s">
        <v>55</v>
      </c>
      <c r="F22" s="20" t="s">
        <v>385</v>
      </c>
      <c r="G22" s="17"/>
      <c r="H22" s="20" t="s">
        <v>224</v>
      </c>
      <c r="I22" s="20" t="s">
        <v>226</v>
      </c>
      <c r="J22" s="20" t="s">
        <v>378</v>
      </c>
      <c r="K22" s="15"/>
      <c r="L22" s="15"/>
      <c r="M22" s="15"/>
      <c r="N22" s="15" t="s">
        <v>199</v>
      </c>
      <c r="O22" s="15" t="s">
        <v>199</v>
      </c>
      <c r="P22" s="15"/>
      <c r="Q22" s="15"/>
      <c r="R22" s="15"/>
      <c r="S22" s="19" t="str">
        <f t="shared" si="0"/>
        <v>Yes</v>
      </c>
      <c r="T22" s="20"/>
      <c r="U22" s="21">
        <f>SUM(INDEX([4]Weighting!$B$2:$C$40,MATCH(V$1,[4]Weighting!$A$2:$A$10,0),MATCH(V22,[4]Weighting!$B$1:$C$1,0)),INDEX([4]Weighting!$B$2:$C$40,MATCH(W$1,[4]Weighting!$A$2:$A$10,0),MATCH(W22,[4]Weighting!$B$1:$C$1,0)),INDEX([4]Weighting!$B$2:$C$40,MATCH(X$1,[4]Weighting!$A$2:$A$10,0),MATCH(X22,[4]Weighting!$B$1:$C$1,0)),INDEX([4]Weighting!$B$2:$C$40,MATCH(Y$1,[4]Weighting!$A$2:$A$10,0),MATCH(Y22,[4]Weighting!$B$1:$C$1,0)),INDEX([4]Weighting!$B$2:$C$40,MATCH(Z$1,[4]Weighting!$A$2:$A$10,0),MATCH(Z22,[4]Weighting!$B$1:$C$1,0)),INDEX([4]Weighting!$B$2:$C$40,MATCH(AA$1,[4]Weighting!$A$2:$A$10,0),MATCH(AA22,[4]Weighting!$B$1:$C$1,0)),INDEX([4]Weighting!$B$2:$C$40,MATCH(AB$1,[4]Weighting!$A$2:$A$10,0),MATCH(AB22,[4]Weighting!$B$1:$C$1,0)),INDEX([4]Weighting!$B$2:$C$40,MATCH(AC$1,[4]Weighting!$A$2:$A$10,0),MATCH(AC22,[4]Weighting!$B$1:$C$1,0)),INDEX([4]Weighting!$B$2:$C$40,MATCH(AD$1,[4]Weighting!$A$2:$A$10,0),MATCH(AD22,[4]Weighting!$B$1:$C$1,0)),VLOOKUP(H22,'[4]List table'!$C$2:$D$5,2,0))</f>
        <v>12</v>
      </c>
      <c r="V22" s="22" t="s">
        <v>199</v>
      </c>
      <c r="W22" s="22" t="s">
        <v>199</v>
      </c>
      <c r="X22" s="22" t="s">
        <v>199</v>
      </c>
      <c r="Y22" s="22" t="s">
        <v>199</v>
      </c>
      <c r="Z22" s="22" t="s">
        <v>199</v>
      </c>
      <c r="AA22" s="22" t="s">
        <v>199</v>
      </c>
      <c r="AB22" s="22" t="s">
        <v>226</v>
      </c>
      <c r="AC22" s="22" t="s">
        <v>199</v>
      </c>
      <c r="AD22" s="22" t="s">
        <v>199</v>
      </c>
      <c r="AE22" s="22" t="s">
        <v>226</v>
      </c>
      <c r="AF22" s="22"/>
    </row>
    <row r="23" spans="1:33" ht="120" x14ac:dyDescent="0.25">
      <c r="A23" s="31" t="s">
        <v>62</v>
      </c>
      <c r="B23" s="20" t="s">
        <v>63</v>
      </c>
      <c r="C23" s="20" t="s">
        <v>251</v>
      </c>
      <c r="D23" s="20" t="s">
        <v>448</v>
      </c>
      <c r="E23" s="20" t="s">
        <v>55</v>
      </c>
      <c r="F23" s="20"/>
      <c r="G23" s="17"/>
      <c r="H23" s="20" t="s">
        <v>224</v>
      </c>
      <c r="I23" s="20" t="s">
        <v>226</v>
      </c>
      <c r="J23" s="20" t="s">
        <v>379</v>
      </c>
      <c r="K23" s="15"/>
      <c r="L23" s="15"/>
      <c r="M23" s="15"/>
      <c r="N23" s="15" t="s">
        <v>199</v>
      </c>
      <c r="O23" s="15" t="s">
        <v>199</v>
      </c>
      <c r="P23" s="15"/>
      <c r="Q23" s="15"/>
      <c r="R23" s="15"/>
      <c r="S23" s="19" t="str">
        <f t="shared" si="0"/>
        <v>Yes</v>
      </c>
      <c r="T23" s="20"/>
      <c r="U23" s="21">
        <f>SUM(INDEX([4]Weighting!$B$2:$C$40,MATCH(V$1,[4]Weighting!$A$2:$A$10,0),MATCH(V23,[4]Weighting!$B$1:$C$1,0)),INDEX([4]Weighting!$B$2:$C$40,MATCH(W$1,[4]Weighting!$A$2:$A$10,0),MATCH(W23,[4]Weighting!$B$1:$C$1,0)),INDEX([4]Weighting!$B$2:$C$40,MATCH(X$1,[4]Weighting!$A$2:$A$10,0),MATCH(X23,[4]Weighting!$B$1:$C$1,0)),INDEX([4]Weighting!$B$2:$C$40,MATCH(Y$1,[4]Weighting!$A$2:$A$10,0),MATCH(Y23,[4]Weighting!$B$1:$C$1,0)),INDEX([4]Weighting!$B$2:$C$40,MATCH(Z$1,[4]Weighting!$A$2:$A$10,0),MATCH(Z23,[4]Weighting!$B$1:$C$1,0)),INDEX([4]Weighting!$B$2:$C$40,MATCH(AA$1,[4]Weighting!$A$2:$A$10,0),MATCH(AA23,[4]Weighting!$B$1:$C$1,0)),INDEX([4]Weighting!$B$2:$C$40,MATCH(AB$1,[4]Weighting!$A$2:$A$10,0),MATCH(AB23,[4]Weighting!$B$1:$C$1,0)),INDEX([4]Weighting!$B$2:$C$40,MATCH(AC$1,[4]Weighting!$A$2:$A$10,0),MATCH(AC23,[4]Weighting!$B$1:$C$1,0)),INDEX([4]Weighting!$B$2:$C$40,MATCH(AD$1,[4]Weighting!$A$2:$A$10,0),MATCH(AD23,[4]Weighting!$B$1:$C$1,0)),VLOOKUP(H23,'[4]List table'!$C$2:$D$5,2,0))</f>
        <v>14</v>
      </c>
      <c r="V23" s="22" t="s">
        <v>199</v>
      </c>
      <c r="W23" s="22" t="s">
        <v>226</v>
      </c>
      <c r="X23" s="22" t="s">
        <v>226</v>
      </c>
      <c r="Y23" s="22" t="s">
        <v>199</v>
      </c>
      <c r="Z23" s="22" t="s">
        <v>199</v>
      </c>
      <c r="AA23" s="22" t="s">
        <v>226</v>
      </c>
      <c r="AB23" s="22" t="s">
        <v>199</v>
      </c>
      <c r="AC23" s="22" t="s">
        <v>199</v>
      </c>
      <c r="AD23" s="22" t="s">
        <v>199</v>
      </c>
      <c r="AE23" s="22" t="s">
        <v>226</v>
      </c>
      <c r="AF23" s="22"/>
    </row>
    <row r="24" spans="1:33" ht="90" x14ac:dyDescent="0.25">
      <c r="A24" s="31" t="s">
        <v>65</v>
      </c>
      <c r="B24" s="20" t="s">
        <v>66</v>
      </c>
      <c r="C24" s="20" t="s">
        <v>253</v>
      </c>
      <c r="D24" s="20" t="s">
        <v>61</v>
      </c>
      <c r="E24" s="20" t="s">
        <v>55</v>
      </c>
      <c r="F24" s="20" t="s">
        <v>385</v>
      </c>
      <c r="G24" s="17"/>
      <c r="H24" s="20" t="s">
        <v>224</v>
      </c>
      <c r="I24" s="20" t="s">
        <v>226</v>
      </c>
      <c r="J24" s="20" t="s">
        <v>378</v>
      </c>
      <c r="K24" s="15"/>
      <c r="L24" s="15"/>
      <c r="M24" s="15"/>
      <c r="N24" s="15" t="s">
        <v>199</v>
      </c>
      <c r="O24" s="15" t="s">
        <v>199</v>
      </c>
      <c r="P24" s="15"/>
      <c r="Q24" s="15"/>
      <c r="R24" s="15"/>
      <c r="S24" s="19" t="str">
        <f t="shared" si="0"/>
        <v>Yes</v>
      </c>
      <c r="T24" s="20"/>
      <c r="U24" s="21">
        <f>SUM(INDEX([4]Weighting!$B$2:$C$40,MATCH(V$1,[4]Weighting!$A$2:$A$10,0),MATCH(V24,[4]Weighting!$B$1:$C$1,0)),INDEX([4]Weighting!$B$2:$C$40,MATCH(W$1,[4]Weighting!$A$2:$A$10,0),MATCH(W24,[4]Weighting!$B$1:$C$1,0)),INDEX([4]Weighting!$B$2:$C$40,MATCH(X$1,[4]Weighting!$A$2:$A$10,0),MATCH(X24,[4]Weighting!$B$1:$C$1,0)),INDEX([4]Weighting!$B$2:$C$40,MATCH(Y$1,[4]Weighting!$A$2:$A$10,0),MATCH(Y24,[4]Weighting!$B$1:$C$1,0)),INDEX([4]Weighting!$B$2:$C$40,MATCH(Z$1,[4]Weighting!$A$2:$A$10,0),MATCH(Z24,[4]Weighting!$B$1:$C$1,0)),INDEX([4]Weighting!$B$2:$C$40,MATCH(AA$1,[4]Weighting!$A$2:$A$10,0),MATCH(AA24,[4]Weighting!$B$1:$C$1,0)),INDEX([4]Weighting!$B$2:$C$40,MATCH(AB$1,[4]Weighting!$A$2:$A$10,0),MATCH(AB24,[4]Weighting!$B$1:$C$1,0)),INDEX([4]Weighting!$B$2:$C$40,MATCH(AC$1,[4]Weighting!$A$2:$A$10,0),MATCH(AC24,[4]Weighting!$B$1:$C$1,0)),INDEX([4]Weighting!$B$2:$C$40,MATCH(AD$1,[4]Weighting!$A$2:$A$10,0),MATCH(AD24,[4]Weighting!$B$1:$C$1,0)),VLOOKUP(H24,'[4]List table'!$C$2:$D$5,2,0))</f>
        <v>14</v>
      </c>
      <c r="V24" s="22" t="s">
        <v>199</v>
      </c>
      <c r="W24" s="22" t="s">
        <v>226</v>
      </c>
      <c r="X24" s="22" t="s">
        <v>226</v>
      </c>
      <c r="Y24" s="22" t="s">
        <v>199</v>
      </c>
      <c r="Z24" s="22" t="s">
        <v>199</v>
      </c>
      <c r="AA24" s="22" t="s">
        <v>226</v>
      </c>
      <c r="AB24" s="22" t="s">
        <v>199</v>
      </c>
      <c r="AC24" s="22" t="s">
        <v>199</v>
      </c>
      <c r="AD24" s="22" t="s">
        <v>199</v>
      </c>
      <c r="AE24" s="22" t="s">
        <v>226</v>
      </c>
      <c r="AF24" s="22"/>
    </row>
    <row r="25" spans="1:33" ht="45" x14ac:dyDescent="0.25">
      <c r="A25" s="31" t="s">
        <v>67</v>
      </c>
      <c r="B25" s="20" t="s">
        <v>68</v>
      </c>
      <c r="C25" s="20" t="s">
        <v>254</v>
      </c>
      <c r="D25" s="20" t="s">
        <v>64</v>
      </c>
      <c r="E25" s="20" t="s">
        <v>55</v>
      </c>
      <c r="F25" s="20"/>
      <c r="G25" s="17"/>
      <c r="H25" s="20" t="s">
        <v>224</v>
      </c>
      <c r="I25" s="20" t="s">
        <v>226</v>
      </c>
      <c r="J25" s="20" t="s">
        <v>376</v>
      </c>
      <c r="K25" s="15"/>
      <c r="L25" s="15"/>
      <c r="M25" s="15"/>
      <c r="N25" s="15" t="s">
        <v>199</v>
      </c>
      <c r="O25" s="15" t="s">
        <v>199</v>
      </c>
      <c r="P25" s="15"/>
      <c r="Q25" s="15"/>
      <c r="R25" s="15"/>
      <c r="S25" s="19" t="str">
        <f t="shared" si="0"/>
        <v>Yes</v>
      </c>
      <c r="T25" s="20"/>
      <c r="U25" s="21">
        <f>SUM(INDEX([4]Weighting!$B$2:$C$40,MATCH(V$1,[4]Weighting!$A$2:$A$10,0),MATCH(V25,[4]Weighting!$B$1:$C$1,0)),INDEX([4]Weighting!$B$2:$C$40,MATCH(W$1,[4]Weighting!$A$2:$A$10,0),MATCH(W25,[4]Weighting!$B$1:$C$1,0)),INDEX([4]Weighting!$B$2:$C$40,MATCH(X$1,[4]Weighting!$A$2:$A$10,0),MATCH(X25,[4]Weighting!$B$1:$C$1,0)),INDEX([4]Weighting!$B$2:$C$40,MATCH(Y$1,[4]Weighting!$A$2:$A$10,0),MATCH(Y25,[4]Weighting!$B$1:$C$1,0)),INDEX([4]Weighting!$B$2:$C$40,MATCH(Z$1,[4]Weighting!$A$2:$A$10,0),MATCH(Z25,[4]Weighting!$B$1:$C$1,0)),INDEX([4]Weighting!$B$2:$C$40,MATCH(AA$1,[4]Weighting!$A$2:$A$10,0),MATCH(AA25,[4]Weighting!$B$1:$C$1,0)),INDEX([4]Weighting!$B$2:$C$40,MATCH(AB$1,[4]Weighting!$A$2:$A$10,0),MATCH(AB25,[4]Weighting!$B$1:$C$1,0)),INDEX([4]Weighting!$B$2:$C$40,MATCH(AC$1,[4]Weighting!$A$2:$A$10,0),MATCH(AC25,[4]Weighting!$B$1:$C$1,0)),INDEX([4]Weighting!$B$2:$C$40,MATCH(AD$1,[4]Weighting!$A$2:$A$10,0),MATCH(AD25,[4]Weighting!$B$1:$C$1,0)),VLOOKUP(H25,'[4]List table'!$C$2:$D$5,2,0))</f>
        <v>17</v>
      </c>
      <c r="V25" s="22" t="s">
        <v>199</v>
      </c>
      <c r="W25" s="22" t="s">
        <v>199</v>
      </c>
      <c r="X25" s="22" t="s">
        <v>226</v>
      </c>
      <c r="Y25" s="22" t="s">
        <v>199</v>
      </c>
      <c r="Z25" s="22" t="s">
        <v>199</v>
      </c>
      <c r="AA25" s="22" t="s">
        <v>226</v>
      </c>
      <c r="AB25" s="22" t="s">
        <v>199</v>
      </c>
      <c r="AC25" s="22" t="s">
        <v>199</v>
      </c>
      <c r="AD25" s="22" t="s">
        <v>199</v>
      </c>
      <c r="AE25" s="22" t="s">
        <v>226</v>
      </c>
      <c r="AF25" s="22"/>
    </row>
    <row r="26" spans="1:33" ht="51.75" customHeight="1" x14ac:dyDescent="0.25">
      <c r="A26" s="31" t="s">
        <v>69</v>
      </c>
      <c r="B26" s="20" t="s">
        <v>70</v>
      </c>
      <c r="C26" s="20" t="s">
        <v>255</v>
      </c>
      <c r="D26" s="20" t="s">
        <v>71</v>
      </c>
      <c r="E26" s="20" t="s">
        <v>55</v>
      </c>
      <c r="F26" s="20"/>
      <c r="G26" s="17"/>
      <c r="H26" s="20" t="s">
        <v>224</v>
      </c>
      <c r="I26" s="20" t="s">
        <v>226</v>
      </c>
      <c r="J26" s="20" t="s">
        <v>376</v>
      </c>
      <c r="K26" s="15"/>
      <c r="L26" s="15"/>
      <c r="M26" s="15"/>
      <c r="N26" s="15" t="s">
        <v>199</v>
      </c>
      <c r="O26" s="15" t="s">
        <v>199</v>
      </c>
      <c r="P26" s="15"/>
      <c r="Q26" s="15"/>
      <c r="R26" s="15"/>
      <c r="S26" s="19" t="str">
        <f t="shared" si="0"/>
        <v>Yes</v>
      </c>
      <c r="T26" s="20"/>
      <c r="U26" s="21">
        <f>SUM(INDEX([4]Weighting!$B$2:$C$40,MATCH(V$1,[4]Weighting!$A$2:$A$10,0),MATCH(V26,[4]Weighting!$B$1:$C$1,0)),INDEX([4]Weighting!$B$2:$C$40,MATCH(W$1,[4]Weighting!$A$2:$A$10,0),MATCH(W26,[4]Weighting!$B$1:$C$1,0)),INDEX([4]Weighting!$B$2:$C$40,MATCH(X$1,[4]Weighting!$A$2:$A$10,0),MATCH(X26,[4]Weighting!$B$1:$C$1,0)),INDEX([4]Weighting!$B$2:$C$40,MATCH(Y$1,[4]Weighting!$A$2:$A$10,0),MATCH(Y26,[4]Weighting!$B$1:$C$1,0)),INDEX([4]Weighting!$B$2:$C$40,MATCH(Z$1,[4]Weighting!$A$2:$A$10,0),MATCH(Z26,[4]Weighting!$B$1:$C$1,0)),INDEX([4]Weighting!$B$2:$C$40,MATCH(AA$1,[4]Weighting!$A$2:$A$10,0),MATCH(AA26,[4]Weighting!$B$1:$C$1,0)),INDEX([4]Weighting!$B$2:$C$40,MATCH(AB$1,[4]Weighting!$A$2:$A$10,0),MATCH(AB26,[4]Weighting!$B$1:$C$1,0)),INDEX([4]Weighting!$B$2:$C$40,MATCH(AC$1,[4]Weighting!$A$2:$A$10,0),MATCH(AC26,[4]Weighting!$B$1:$C$1,0)),INDEX([4]Weighting!$B$2:$C$40,MATCH(AD$1,[4]Weighting!$A$2:$A$10,0),MATCH(AD26,[4]Weighting!$B$1:$C$1,0)),VLOOKUP(H26,'[4]List table'!$C$2:$D$5,2,0))</f>
        <v>11</v>
      </c>
      <c r="V26" s="22" t="s">
        <v>199</v>
      </c>
      <c r="W26" s="22" t="s">
        <v>226</v>
      </c>
      <c r="X26" s="22" t="s">
        <v>226</v>
      </c>
      <c r="Y26" s="22" t="s">
        <v>199</v>
      </c>
      <c r="Z26" s="22" t="s">
        <v>226</v>
      </c>
      <c r="AA26" s="22" t="s">
        <v>226</v>
      </c>
      <c r="AB26" s="22" t="s">
        <v>226</v>
      </c>
      <c r="AC26" s="22" t="s">
        <v>226</v>
      </c>
      <c r="AD26" s="22" t="s">
        <v>199</v>
      </c>
      <c r="AE26" s="22" t="s">
        <v>226</v>
      </c>
      <c r="AF26" s="22"/>
    </row>
    <row r="27" spans="1:33" ht="87" customHeight="1" x14ac:dyDescent="0.25">
      <c r="A27" s="31" t="s">
        <v>72</v>
      </c>
      <c r="B27" s="20" t="s">
        <v>73</v>
      </c>
      <c r="C27" s="20" t="s">
        <v>256</v>
      </c>
      <c r="D27" s="20" t="s">
        <v>74</v>
      </c>
      <c r="E27" s="20" t="s">
        <v>55</v>
      </c>
      <c r="F27" s="20"/>
      <c r="G27" s="17"/>
      <c r="H27" s="20" t="s">
        <v>224</v>
      </c>
      <c r="I27" s="20" t="s">
        <v>226</v>
      </c>
      <c r="J27" s="20" t="s">
        <v>376</v>
      </c>
      <c r="K27" s="15"/>
      <c r="L27" s="15"/>
      <c r="M27" s="15"/>
      <c r="N27" s="15" t="s">
        <v>199</v>
      </c>
      <c r="O27" s="15" t="s">
        <v>199</v>
      </c>
      <c r="P27" s="15"/>
      <c r="Q27" s="15"/>
      <c r="R27" s="15"/>
      <c r="S27" s="19" t="str">
        <f t="shared" si="0"/>
        <v>Yes</v>
      </c>
      <c r="T27" s="20"/>
      <c r="U27" s="21">
        <f>SUM(INDEX([4]Weighting!$B$2:$C$40,MATCH(V$1,[4]Weighting!$A$2:$A$10,0),MATCH(V27,[4]Weighting!$B$1:$C$1,0)),INDEX([4]Weighting!$B$2:$C$40,MATCH(W$1,[4]Weighting!$A$2:$A$10,0),MATCH(W27,[4]Weighting!$B$1:$C$1,0)),INDEX([4]Weighting!$B$2:$C$40,MATCH(X$1,[4]Weighting!$A$2:$A$10,0),MATCH(X27,[4]Weighting!$B$1:$C$1,0)),INDEX([4]Weighting!$B$2:$C$40,MATCH(Y$1,[4]Weighting!$A$2:$A$10,0),MATCH(Y27,[4]Weighting!$B$1:$C$1,0)),INDEX([4]Weighting!$B$2:$C$40,MATCH(Z$1,[4]Weighting!$A$2:$A$10,0),MATCH(Z27,[4]Weighting!$B$1:$C$1,0)),INDEX([4]Weighting!$B$2:$C$40,MATCH(AA$1,[4]Weighting!$A$2:$A$10,0),MATCH(AA27,[4]Weighting!$B$1:$C$1,0)),INDEX([4]Weighting!$B$2:$C$40,MATCH(AB$1,[4]Weighting!$A$2:$A$10,0),MATCH(AB27,[4]Weighting!$B$1:$C$1,0)),INDEX([4]Weighting!$B$2:$C$40,MATCH(AC$1,[4]Weighting!$A$2:$A$10,0),MATCH(AC27,[4]Weighting!$B$1:$C$1,0)),INDEX([4]Weighting!$B$2:$C$40,MATCH(AD$1,[4]Weighting!$A$2:$A$10,0),MATCH(AD27,[4]Weighting!$B$1:$C$1,0)),VLOOKUP(H27,'[4]List table'!$C$2:$D$5,2,0))</f>
        <v>11</v>
      </c>
      <c r="V27" s="22" t="s">
        <v>199</v>
      </c>
      <c r="W27" s="22" t="s">
        <v>226</v>
      </c>
      <c r="X27" s="22" t="s">
        <v>226</v>
      </c>
      <c r="Y27" s="22" t="s">
        <v>199</v>
      </c>
      <c r="Z27" s="22" t="s">
        <v>226</v>
      </c>
      <c r="AA27" s="22" t="s">
        <v>226</v>
      </c>
      <c r="AB27" s="22" t="s">
        <v>226</v>
      </c>
      <c r="AC27" s="22" t="s">
        <v>226</v>
      </c>
      <c r="AD27" s="22" t="s">
        <v>199</v>
      </c>
      <c r="AE27" s="22" t="s">
        <v>226</v>
      </c>
      <c r="AF27" s="22"/>
    </row>
    <row r="28" spans="1:33" ht="45" x14ac:dyDescent="0.25">
      <c r="A28" s="31" t="s">
        <v>75</v>
      </c>
      <c r="B28" s="20" t="s">
        <v>76</v>
      </c>
      <c r="C28" s="20" t="s">
        <v>256</v>
      </c>
      <c r="D28" s="43" t="s">
        <v>77</v>
      </c>
      <c r="E28" s="20" t="s">
        <v>55</v>
      </c>
      <c r="F28" s="20"/>
      <c r="G28" s="17"/>
      <c r="H28" s="20" t="s">
        <v>224</v>
      </c>
      <c r="I28" s="20" t="s">
        <v>226</v>
      </c>
      <c r="J28" s="20" t="s">
        <v>376</v>
      </c>
      <c r="K28" s="15"/>
      <c r="L28" s="15"/>
      <c r="M28" s="15"/>
      <c r="N28" s="15" t="s">
        <v>199</v>
      </c>
      <c r="O28" s="15" t="s">
        <v>199</v>
      </c>
      <c r="P28" s="15"/>
      <c r="Q28" s="15"/>
      <c r="R28" s="15"/>
      <c r="S28" s="19" t="str">
        <f t="shared" si="0"/>
        <v>Yes</v>
      </c>
      <c r="T28" s="20"/>
      <c r="U28" s="21">
        <f>SUM(INDEX([4]Weighting!$B$2:$C$40,MATCH(V$1,[4]Weighting!$A$2:$A$10,0),MATCH(V28,[4]Weighting!$B$1:$C$1,0)),INDEX([4]Weighting!$B$2:$C$40,MATCH(W$1,[4]Weighting!$A$2:$A$10,0),MATCH(W28,[4]Weighting!$B$1:$C$1,0)),INDEX([4]Weighting!$B$2:$C$40,MATCH(X$1,[4]Weighting!$A$2:$A$10,0),MATCH(X28,[4]Weighting!$B$1:$C$1,0)),INDEX([4]Weighting!$B$2:$C$40,MATCH(Y$1,[4]Weighting!$A$2:$A$10,0),MATCH(Y28,[4]Weighting!$B$1:$C$1,0)),INDEX([4]Weighting!$B$2:$C$40,MATCH(Z$1,[4]Weighting!$A$2:$A$10,0),MATCH(Z28,[4]Weighting!$B$1:$C$1,0)),INDEX([4]Weighting!$B$2:$C$40,MATCH(AA$1,[4]Weighting!$A$2:$A$10,0),MATCH(AA28,[4]Weighting!$B$1:$C$1,0)),INDEX([4]Weighting!$B$2:$C$40,MATCH(AB$1,[4]Weighting!$A$2:$A$10,0),MATCH(AB28,[4]Weighting!$B$1:$C$1,0)),INDEX([4]Weighting!$B$2:$C$40,MATCH(AC$1,[4]Weighting!$A$2:$A$10,0),MATCH(AC28,[4]Weighting!$B$1:$C$1,0)),INDEX([4]Weighting!$B$2:$C$40,MATCH(AD$1,[4]Weighting!$A$2:$A$10,0),MATCH(AD28,[4]Weighting!$B$1:$C$1,0)),VLOOKUP(H28,'[4]List table'!$C$2:$D$5,2,0))</f>
        <v>13</v>
      </c>
      <c r="V28" s="22" t="s">
        <v>199</v>
      </c>
      <c r="W28" s="22" t="s">
        <v>226</v>
      </c>
      <c r="X28" s="22" t="s">
        <v>226</v>
      </c>
      <c r="Y28" s="22" t="s">
        <v>199</v>
      </c>
      <c r="Z28" s="22" t="s">
        <v>226</v>
      </c>
      <c r="AA28" s="22" t="s">
        <v>226</v>
      </c>
      <c r="AB28" s="22" t="s">
        <v>226</v>
      </c>
      <c r="AC28" s="22" t="s">
        <v>199</v>
      </c>
      <c r="AD28" s="22" t="s">
        <v>199</v>
      </c>
      <c r="AE28" s="22" t="s">
        <v>226</v>
      </c>
      <c r="AF28" s="22"/>
    </row>
    <row r="29" spans="1:33" ht="45" x14ac:dyDescent="0.25">
      <c r="A29" s="31" t="s">
        <v>78</v>
      </c>
      <c r="B29" s="20" t="s">
        <v>79</v>
      </c>
      <c r="C29" s="20" t="s">
        <v>256</v>
      </c>
      <c r="D29" s="43" t="s">
        <v>257</v>
      </c>
      <c r="E29" s="20" t="s">
        <v>55</v>
      </c>
      <c r="F29" s="20"/>
      <c r="G29" s="17"/>
      <c r="H29" s="20" t="s">
        <v>224</v>
      </c>
      <c r="I29" s="20" t="s">
        <v>226</v>
      </c>
      <c r="J29" s="20" t="s">
        <v>376</v>
      </c>
      <c r="K29" s="15"/>
      <c r="L29" s="15"/>
      <c r="M29" s="15"/>
      <c r="N29" s="15" t="s">
        <v>199</v>
      </c>
      <c r="O29" s="15" t="s">
        <v>199</v>
      </c>
      <c r="P29" s="15"/>
      <c r="Q29" s="15"/>
      <c r="R29" s="15"/>
      <c r="S29" s="19" t="str">
        <f t="shared" si="0"/>
        <v>Yes</v>
      </c>
      <c r="T29" s="20"/>
      <c r="U29" s="21">
        <f>SUM(INDEX([4]Weighting!$B$2:$C$40,MATCH(V$1,[4]Weighting!$A$2:$A$10,0),MATCH(V29,[4]Weighting!$B$1:$C$1,0)),INDEX([4]Weighting!$B$2:$C$40,MATCH(W$1,[4]Weighting!$A$2:$A$10,0),MATCH(W29,[4]Weighting!$B$1:$C$1,0)),INDEX([4]Weighting!$B$2:$C$40,MATCH(X$1,[4]Weighting!$A$2:$A$10,0),MATCH(X29,[4]Weighting!$B$1:$C$1,0)),INDEX([4]Weighting!$B$2:$C$40,MATCH(Y$1,[4]Weighting!$A$2:$A$10,0),MATCH(Y29,[4]Weighting!$B$1:$C$1,0)),INDEX([4]Weighting!$B$2:$C$40,MATCH(Z$1,[4]Weighting!$A$2:$A$10,0),MATCH(Z29,[4]Weighting!$B$1:$C$1,0)),INDEX([4]Weighting!$B$2:$C$40,MATCH(AA$1,[4]Weighting!$A$2:$A$10,0),MATCH(AA29,[4]Weighting!$B$1:$C$1,0)),INDEX([4]Weighting!$B$2:$C$40,MATCH(AB$1,[4]Weighting!$A$2:$A$10,0),MATCH(AB29,[4]Weighting!$B$1:$C$1,0)),INDEX([4]Weighting!$B$2:$C$40,MATCH(AC$1,[4]Weighting!$A$2:$A$10,0),MATCH(AC29,[4]Weighting!$B$1:$C$1,0)),INDEX([4]Weighting!$B$2:$C$40,MATCH(AD$1,[4]Weighting!$A$2:$A$10,0),MATCH(AD29,[4]Weighting!$B$1:$C$1,0)),VLOOKUP(H29,'[4]List table'!$C$2:$D$5,2,0))</f>
        <v>11</v>
      </c>
      <c r="V29" s="22" t="s">
        <v>199</v>
      </c>
      <c r="W29" s="22" t="s">
        <v>226</v>
      </c>
      <c r="X29" s="22" t="s">
        <v>226</v>
      </c>
      <c r="Y29" s="22" t="s">
        <v>199</v>
      </c>
      <c r="Z29" s="22" t="s">
        <v>226</v>
      </c>
      <c r="AA29" s="22" t="s">
        <v>226</v>
      </c>
      <c r="AB29" s="22" t="s">
        <v>226</v>
      </c>
      <c r="AC29" s="22" t="s">
        <v>226</v>
      </c>
      <c r="AD29" s="22" t="s">
        <v>199</v>
      </c>
      <c r="AE29" s="22" t="s">
        <v>226</v>
      </c>
      <c r="AF29" s="22"/>
    </row>
    <row r="30" spans="1:33" ht="86.65" customHeight="1" x14ac:dyDescent="0.25">
      <c r="A30" s="31" t="s">
        <v>80</v>
      </c>
      <c r="B30" s="20" t="s">
        <v>81</v>
      </c>
      <c r="C30" s="20" t="s">
        <v>258</v>
      </c>
      <c r="D30" s="20" t="s">
        <v>259</v>
      </c>
      <c r="E30" s="20" t="s">
        <v>55</v>
      </c>
      <c r="F30" s="20"/>
      <c r="G30" s="17"/>
      <c r="H30" s="20" t="s">
        <v>224</v>
      </c>
      <c r="I30" s="20" t="s">
        <v>226</v>
      </c>
      <c r="J30" s="20" t="s">
        <v>97</v>
      </c>
      <c r="K30" s="15"/>
      <c r="L30" s="15"/>
      <c r="M30" s="15"/>
      <c r="N30" s="15" t="s">
        <v>199</v>
      </c>
      <c r="O30" s="15" t="s">
        <v>199</v>
      </c>
      <c r="P30" s="15"/>
      <c r="Q30" s="15"/>
      <c r="R30" s="15"/>
      <c r="S30" s="19" t="str">
        <f t="shared" si="0"/>
        <v>Yes</v>
      </c>
      <c r="T30" s="20"/>
      <c r="U30" s="21">
        <f>SUM(INDEX([4]Weighting!$B$2:$C$40,MATCH(V$1,[4]Weighting!$A$2:$A$10,0),MATCH(V30,[4]Weighting!$B$1:$C$1,0)),INDEX([4]Weighting!$B$2:$C$40,MATCH(W$1,[4]Weighting!$A$2:$A$10,0),MATCH(W30,[4]Weighting!$B$1:$C$1,0)),INDEX([4]Weighting!$B$2:$C$40,MATCH(X$1,[4]Weighting!$A$2:$A$10,0),MATCH(X30,[4]Weighting!$B$1:$C$1,0)),INDEX([4]Weighting!$B$2:$C$40,MATCH(Y$1,[4]Weighting!$A$2:$A$10,0),MATCH(Y30,[4]Weighting!$B$1:$C$1,0)),INDEX([4]Weighting!$B$2:$C$40,MATCH(Z$1,[4]Weighting!$A$2:$A$10,0),MATCH(Z30,[4]Weighting!$B$1:$C$1,0)),INDEX([4]Weighting!$B$2:$C$40,MATCH(AA$1,[4]Weighting!$A$2:$A$10,0),MATCH(AA30,[4]Weighting!$B$1:$C$1,0)),INDEX([4]Weighting!$B$2:$C$40,MATCH(AB$1,[4]Weighting!$A$2:$A$10,0),MATCH(AB30,[4]Weighting!$B$1:$C$1,0)),INDEX([4]Weighting!$B$2:$C$40,MATCH(AC$1,[4]Weighting!$A$2:$A$10,0),MATCH(AC30,[4]Weighting!$B$1:$C$1,0)),INDEX([4]Weighting!$B$2:$C$40,MATCH(AD$1,[4]Weighting!$A$2:$A$10,0),MATCH(AD30,[4]Weighting!$B$1:$C$1,0)),VLOOKUP(H30,'[4]List table'!$C$2:$D$5,2,0))</f>
        <v>8</v>
      </c>
      <c r="V30" s="22" t="s">
        <v>199</v>
      </c>
      <c r="W30" s="22" t="s">
        <v>226</v>
      </c>
      <c r="X30" s="22" t="s">
        <v>226</v>
      </c>
      <c r="Y30" s="22" t="s">
        <v>226</v>
      </c>
      <c r="Z30" s="22" t="s">
        <v>226</v>
      </c>
      <c r="AA30" s="22" t="s">
        <v>226</v>
      </c>
      <c r="AB30" s="22" t="s">
        <v>226</v>
      </c>
      <c r="AC30" s="22" t="s">
        <v>226</v>
      </c>
      <c r="AD30" s="22" t="s">
        <v>199</v>
      </c>
      <c r="AE30" s="22" t="s">
        <v>226</v>
      </c>
      <c r="AF30" s="22"/>
    </row>
    <row r="31" spans="1:33" ht="30" x14ac:dyDescent="0.25">
      <c r="A31" s="31" t="s">
        <v>82</v>
      </c>
      <c r="B31" s="20" t="s">
        <v>83</v>
      </c>
      <c r="C31" s="20" t="s">
        <v>260</v>
      </c>
      <c r="D31" s="20" t="s">
        <v>71</v>
      </c>
      <c r="E31" s="20" t="s">
        <v>55</v>
      </c>
      <c r="F31" s="20"/>
      <c r="G31" s="17"/>
      <c r="H31" s="20" t="s">
        <v>224</v>
      </c>
      <c r="I31" s="20" t="s">
        <v>226</v>
      </c>
      <c r="J31" s="20" t="s">
        <v>97</v>
      </c>
      <c r="K31" s="15"/>
      <c r="L31" s="15"/>
      <c r="M31" s="15"/>
      <c r="N31" s="15" t="s">
        <v>199</v>
      </c>
      <c r="O31" s="15" t="s">
        <v>199</v>
      </c>
      <c r="P31" s="15"/>
      <c r="Q31" s="15"/>
      <c r="R31" s="15"/>
      <c r="S31" s="19" t="str">
        <f t="shared" si="0"/>
        <v>Yes</v>
      </c>
      <c r="T31" s="20"/>
      <c r="U31" s="21">
        <f>SUM(INDEX([4]Weighting!$B$2:$C$40,MATCH(V$1,[4]Weighting!$A$2:$A$10,0),MATCH(V31,[4]Weighting!$B$1:$C$1,0)),INDEX([4]Weighting!$B$2:$C$40,MATCH(W$1,[4]Weighting!$A$2:$A$10,0),MATCH(W31,[4]Weighting!$B$1:$C$1,0)),INDEX([4]Weighting!$B$2:$C$40,MATCH(X$1,[4]Weighting!$A$2:$A$10,0),MATCH(X31,[4]Weighting!$B$1:$C$1,0)),INDEX([4]Weighting!$B$2:$C$40,MATCH(Y$1,[4]Weighting!$A$2:$A$10,0),MATCH(Y31,[4]Weighting!$B$1:$C$1,0)),INDEX([4]Weighting!$B$2:$C$40,MATCH(Z$1,[4]Weighting!$A$2:$A$10,0),MATCH(Z31,[4]Weighting!$B$1:$C$1,0)),INDEX([4]Weighting!$B$2:$C$40,MATCH(AA$1,[4]Weighting!$A$2:$A$10,0),MATCH(AA31,[4]Weighting!$B$1:$C$1,0)),INDEX([4]Weighting!$B$2:$C$40,MATCH(AB$1,[4]Weighting!$A$2:$A$10,0),MATCH(AB31,[4]Weighting!$B$1:$C$1,0)),INDEX([4]Weighting!$B$2:$C$40,MATCH(AC$1,[4]Weighting!$A$2:$A$10,0),MATCH(AC31,[4]Weighting!$B$1:$C$1,0)),INDEX([4]Weighting!$B$2:$C$40,MATCH(AD$1,[4]Weighting!$A$2:$A$10,0),MATCH(AD31,[4]Weighting!$B$1:$C$1,0)),VLOOKUP(H31,'[4]List table'!$C$2:$D$5,2,0))</f>
        <v>6</v>
      </c>
      <c r="V31" s="22" t="s">
        <v>199</v>
      </c>
      <c r="W31" s="22" t="s">
        <v>226</v>
      </c>
      <c r="X31" s="44" t="s">
        <v>199</v>
      </c>
      <c r="Y31" s="22" t="s">
        <v>226</v>
      </c>
      <c r="Z31" s="22" t="s">
        <v>199</v>
      </c>
      <c r="AA31" s="22" t="s">
        <v>226</v>
      </c>
      <c r="AB31" s="22" t="s">
        <v>226</v>
      </c>
      <c r="AC31" s="22" t="s">
        <v>226</v>
      </c>
      <c r="AD31" s="22" t="s">
        <v>199</v>
      </c>
      <c r="AE31" s="22" t="s">
        <v>226</v>
      </c>
      <c r="AF31" s="22"/>
    </row>
    <row r="32" spans="1:33" ht="30" x14ac:dyDescent="0.25">
      <c r="A32" s="31" t="s">
        <v>84</v>
      </c>
      <c r="B32" s="20" t="s">
        <v>85</v>
      </c>
      <c r="C32" s="20" t="s">
        <v>261</v>
      </c>
      <c r="D32" s="20" t="s">
        <v>74</v>
      </c>
      <c r="E32" s="20" t="s">
        <v>55</v>
      </c>
      <c r="F32" s="20"/>
      <c r="G32" s="17"/>
      <c r="H32" s="20" t="s">
        <v>224</v>
      </c>
      <c r="I32" s="20" t="s">
        <v>226</v>
      </c>
      <c r="J32" s="20" t="s">
        <v>97</v>
      </c>
      <c r="K32" s="15"/>
      <c r="L32" s="15"/>
      <c r="M32" s="15"/>
      <c r="N32" s="15" t="s">
        <v>199</v>
      </c>
      <c r="O32" s="15" t="s">
        <v>199</v>
      </c>
      <c r="P32" s="15"/>
      <c r="Q32" s="15"/>
      <c r="R32" s="15"/>
      <c r="S32" s="19" t="str">
        <f t="shared" si="0"/>
        <v>Yes</v>
      </c>
      <c r="T32" s="20"/>
      <c r="U32" s="21">
        <f>SUM(INDEX([4]Weighting!$B$2:$C$40,MATCH(V$1,[4]Weighting!$A$2:$A$10,0),MATCH(V32,[4]Weighting!$B$1:$C$1,0)),INDEX([4]Weighting!$B$2:$C$40,MATCH(W$1,[4]Weighting!$A$2:$A$10,0),MATCH(W32,[4]Weighting!$B$1:$C$1,0)),INDEX([4]Weighting!$B$2:$C$40,MATCH(X$1,[4]Weighting!$A$2:$A$10,0),MATCH(X32,[4]Weighting!$B$1:$C$1,0)),INDEX([4]Weighting!$B$2:$C$40,MATCH(Y$1,[4]Weighting!$A$2:$A$10,0),MATCH(Y32,[4]Weighting!$B$1:$C$1,0)),INDEX([4]Weighting!$B$2:$C$40,MATCH(Z$1,[4]Weighting!$A$2:$A$10,0),MATCH(Z32,[4]Weighting!$B$1:$C$1,0)),INDEX([4]Weighting!$B$2:$C$40,MATCH(AA$1,[4]Weighting!$A$2:$A$10,0),MATCH(AA32,[4]Weighting!$B$1:$C$1,0)),INDEX([4]Weighting!$B$2:$C$40,MATCH(AB$1,[4]Weighting!$A$2:$A$10,0),MATCH(AB32,[4]Weighting!$B$1:$C$1,0)),INDEX([4]Weighting!$B$2:$C$40,MATCH(AC$1,[4]Weighting!$A$2:$A$10,0),MATCH(AC32,[4]Weighting!$B$1:$C$1,0)),INDEX([4]Weighting!$B$2:$C$40,MATCH(AD$1,[4]Weighting!$A$2:$A$10,0),MATCH(AD32,[4]Weighting!$B$1:$C$1,0)),VLOOKUP(H32,'[4]List table'!$C$2:$D$5,2,0))</f>
        <v>12</v>
      </c>
      <c r="V32" s="22" t="s">
        <v>199</v>
      </c>
      <c r="W32" s="22" t="s">
        <v>226</v>
      </c>
      <c r="X32" s="22" t="s">
        <v>226</v>
      </c>
      <c r="Y32" s="22" t="s">
        <v>199</v>
      </c>
      <c r="Z32" s="22" t="s">
        <v>226</v>
      </c>
      <c r="AA32" s="22" t="s">
        <v>226</v>
      </c>
      <c r="AB32" s="22" t="s">
        <v>226</v>
      </c>
      <c r="AC32" s="22" t="s">
        <v>199</v>
      </c>
      <c r="AD32" s="22" t="s">
        <v>226</v>
      </c>
      <c r="AE32" s="22" t="s">
        <v>226</v>
      </c>
      <c r="AF32" s="22"/>
    </row>
    <row r="33" spans="1:33" ht="30" x14ac:dyDescent="0.25">
      <c r="A33" s="31" t="s">
        <v>86</v>
      </c>
      <c r="B33" s="20" t="s">
        <v>87</v>
      </c>
      <c r="C33" s="20" t="s">
        <v>262</v>
      </c>
      <c r="D33" s="20" t="s">
        <v>88</v>
      </c>
      <c r="E33" s="20" t="s">
        <v>55</v>
      </c>
      <c r="F33" s="20"/>
      <c r="G33" s="17"/>
      <c r="H33" s="20" t="s">
        <v>224</v>
      </c>
      <c r="I33" s="20" t="s">
        <v>226</v>
      </c>
      <c r="J33" s="20" t="s">
        <v>97</v>
      </c>
      <c r="K33" s="15"/>
      <c r="L33" s="15"/>
      <c r="M33" s="15"/>
      <c r="N33" s="15" t="s">
        <v>199</v>
      </c>
      <c r="O33" s="15" t="s">
        <v>199</v>
      </c>
      <c r="P33" s="15"/>
      <c r="Q33" s="15"/>
      <c r="R33" s="15"/>
      <c r="S33" s="19" t="str">
        <f t="shared" si="0"/>
        <v>Yes</v>
      </c>
      <c r="T33" s="20"/>
      <c r="U33" s="21">
        <f>SUM(INDEX([4]Weighting!$B$2:$C$40,MATCH(V$1,[4]Weighting!$A$2:$A$10,0),MATCH(V33,[4]Weighting!$B$1:$C$1,0)),INDEX([4]Weighting!$B$2:$C$40,MATCH(W$1,[4]Weighting!$A$2:$A$10,0),MATCH(W33,[4]Weighting!$B$1:$C$1,0)),INDEX([4]Weighting!$B$2:$C$40,MATCH(X$1,[4]Weighting!$A$2:$A$10,0),MATCH(X33,[4]Weighting!$B$1:$C$1,0)),INDEX([4]Weighting!$B$2:$C$40,MATCH(Y$1,[4]Weighting!$A$2:$A$10,0),MATCH(Y33,[4]Weighting!$B$1:$C$1,0)),INDEX([4]Weighting!$B$2:$C$40,MATCH(Z$1,[4]Weighting!$A$2:$A$10,0),MATCH(Z33,[4]Weighting!$B$1:$C$1,0)),INDEX([4]Weighting!$B$2:$C$40,MATCH(AA$1,[4]Weighting!$A$2:$A$10,0),MATCH(AA33,[4]Weighting!$B$1:$C$1,0)),INDEX([4]Weighting!$B$2:$C$40,MATCH(AB$1,[4]Weighting!$A$2:$A$10,0),MATCH(AB33,[4]Weighting!$B$1:$C$1,0)),INDEX([4]Weighting!$B$2:$C$40,MATCH(AC$1,[4]Weighting!$A$2:$A$10,0),MATCH(AC33,[4]Weighting!$B$1:$C$1,0)),INDEX([4]Weighting!$B$2:$C$40,MATCH(AD$1,[4]Weighting!$A$2:$A$10,0),MATCH(AD33,[4]Weighting!$B$1:$C$1,0)),VLOOKUP(H33,'[4]List table'!$C$2:$D$5,2,0))</f>
        <v>9</v>
      </c>
      <c r="V33" s="22" t="s">
        <v>199</v>
      </c>
      <c r="W33" s="22" t="s">
        <v>226</v>
      </c>
      <c r="X33" s="22" t="s">
        <v>226</v>
      </c>
      <c r="Y33" s="22" t="s">
        <v>199</v>
      </c>
      <c r="Z33" s="22" t="s">
        <v>199</v>
      </c>
      <c r="AA33" s="22" t="s">
        <v>226</v>
      </c>
      <c r="AB33" s="22" t="s">
        <v>226</v>
      </c>
      <c r="AC33" s="22" t="s">
        <v>226</v>
      </c>
      <c r="AD33" s="22" t="s">
        <v>226</v>
      </c>
      <c r="AE33" s="22" t="s">
        <v>226</v>
      </c>
      <c r="AF33" s="22"/>
    </row>
    <row r="34" spans="1:33" ht="30" x14ac:dyDescent="0.25">
      <c r="A34" s="31" t="s">
        <v>89</v>
      </c>
      <c r="B34" s="20" t="s">
        <v>90</v>
      </c>
      <c r="C34" s="20" t="s">
        <v>263</v>
      </c>
      <c r="D34" s="20" t="s">
        <v>91</v>
      </c>
      <c r="E34" s="20" t="s">
        <v>55</v>
      </c>
      <c r="F34" s="20"/>
      <c r="G34" s="17"/>
      <c r="H34" s="20" t="s">
        <v>224</v>
      </c>
      <c r="I34" s="20" t="s">
        <v>226</v>
      </c>
      <c r="J34" s="20" t="s">
        <v>97</v>
      </c>
      <c r="K34" s="15"/>
      <c r="L34" s="15"/>
      <c r="M34" s="15"/>
      <c r="N34" s="15" t="s">
        <v>199</v>
      </c>
      <c r="O34" s="15" t="s">
        <v>199</v>
      </c>
      <c r="P34" s="15"/>
      <c r="Q34" s="15"/>
      <c r="R34" s="15"/>
      <c r="S34" s="19" t="str">
        <f t="shared" si="0"/>
        <v>Yes</v>
      </c>
      <c r="T34" s="20"/>
      <c r="U34" s="21">
        <f>SUM(INDEX([4]Weighting!$B$2:$C$40,MATCH(V$1,[4]Weighting!$A$2:$A$10,0),MATCH(V34,[4]Weighting!$B$1:$C$1,0)),INDEX([4]Weighting!$B$2:$C$40,MATCH(W$1,[4]Weighting!$A$2:$A$10,0),MATCH(W34,[4]Weighting!$B$1:$C$1,0)),INDEX([4]Weighting!$B$2:$C$40,MATCH(X$1,[4]Weighting!$A$2:$A$10,0),MATCH(X34,[4]Weighting!$B$1:$C$1,0)),INDEX([4]Weighting!$B$2:$C$40,MATCH(Y$1,[4]Weighting!$A$2:$A$10,0),MATCH(Y34,[4]Weighting!$B$1:$C$1,0)),INDEX([4]Weighting!$B$2:$C$40,MATCH(Z$1,[4]Weighting!$A$2:$A$10,0),MATCH(Z34,[4]Weighting!$B$1:$C$1,0)),INDEX([4]Weighting!$B$2:$C$40,MATCH(AA$1,[4]Weighting!$A$2:$A$10,0),MATCH(AA34,[4]Weighting!$B$1:$C$1,0)),INDEX([4]Weighting!$B$2:$C$40,MATCH(AB$1,[4]Weighting!$A$2:$A$10,0),MATCH(AB34,[4]Weighting!$B$1:$C$1,0)),INDEX([4]Weighting!$B$2:$C$40,MATCH(AC$1,[4]Weighting!$A$2:$A$10,0),MATCH(AC34,[4]Weighting!$B$1:$C$1,0)),INDEX([4]Weighting!$B$2:$C$40,MATCH(AD$1,[4]Weighting!$A$2:$A$10,0),MATCH(AD34,[4]Weighting!$B$1:$C$1,0)),VLOOKUP(H34,'[4]List table'!$C$2:$D$5,2,0))</f>
        <v>11</v>
      </c>
      <c r="V34" s="22" t="s">
        <v>199</v>
      </c>
      <c r="W34" s="22" t="s">
        <v>226</v>
      </c>
      <c r="X34" s="22" t="s">
        <v>226</v>
      </c>
      <c r="Y34" s="22" t="s">
        <v>199</v>
      </c>
      <c r="Z34" s="22" t="s">
        <v>226</v>
      </c>
      <c r="AA34" s="22" t="s">
        <v>226</v>
      </c>
      <c r="AB34" s="22" t="s">
        <v>226</v>
      </c>
      <c r="AC34" s="22" t="s">
        <v>226</v>
      </c>
      <c r="AD34" s="22" t="s">
        <v>199</v>
      </c>
      <c r="AE34" s="22" t="s">
        <v>226</v>
      </c>
      <c r="AF34" s="22"/>
    </row>
    <row r="35" spans="1:33" ht="45" x14ac:dyDescent="0.25">
      <c r="A35" s="31" t="s">
        <v>92</v>
      </c>
      <c r="B35" s="20" t="s">
        <v>93</v>
      </c>
      <c r="C35" s="20" t="s">
        <v>264</v>
      </c>
      <c r="D35" s="20" t="s">
        <v>449</v>
      </c>
      <c r="E35" s="20" t="s">
        <v>95</v>
      </c>
      <c r="F35" s="20" t="s">
        <v>386</v>
      </c>
      <c r="G35" s="18" t="s">
        <v>266</v>
      </c>
      <c r="H35" s="20" t="s">
        <v>224</v>
      </c>
      <c r="I35" s="20" t="s">
        <v>226</v>
      </c>
      <c r="J35" s="20" t="s">
        <v>378</v>
      </c>
      <c r="K35" s="15"/>
      <c r="L35" s="15"/>
      <c r="M35" s="15"/>
      <c r="N35" s="15" t="s">
        <v>199</v>
      </c>
      <c r="O35" s="15" t="s">
        <v>199</v>
      </c>
      <c r="P35" s="15"/>
      <c r="Q35" s="15"/>
      <c r="R35" s="15"/>
      <c r="S35" s="19" t="str">
        <f t="shared" si="0"/>
        <v>Yes</v>
      </c>
      <c r="T35" s="20"/>
      <c r="U35" s="21">
        <f>SUM(INDEX([4]Weighting!$B$2:$C$40,MATCH(V$1,[4]Weighting!$A$2:$A$10,0),MATCH(V35,[4]Weighting!$B$1:$C$1,0)),INDEX([4]Weighting!$B$2:$C$40,MATCH(W$1,[4]Weighting!$A$2:$A$10,0),MATCH(W35,[4]Weighting!$B$1:$C$1,0)),INDEX([4]Weighting!$B$2:$C$40,MATCH(X$1,[4]Weighting!$A$2:$A$10,0),MATCH(X35,[4]Weighting!$B$1:$C$1,0)),INDEX([4]Weighting!$B$2:$C$40,MATCH(Y$1,[4]Weighting!$A$2:$A$10,0),MATCH(Y35,[4]Weighting!$B$1:$C$1,0)),INDEX([4]Weighting!$B$2:$C$40,MATCH(Z$1,[4]Weighting!$A$2:$A$10,0),MATCH(Z35,[4]Weighting!$B$1:$C$1,0)),INDEX([4]Weighting!$B$2:$C$40,MATCH(AA$1,[4]Weighting!$A$2:$A$10,0),MATCH(AA35,[4]Weighting!$B$1:$C$1,0)),INDEX([4]Weighting!$B$2:$C$40,MATCH(AB$1,[4]Weighting!$A$2:$A$10,0),MATCH(AB35,[4]Weighting!$B$1:$C$1,0)),INDEX([4]Weighting!$B$2:$C$40,MATCH(AC$1,[4]Weighting!$A$2:$A$10,0),MATCH(AC35,[4]Weighting!$B$1:$C$1,0)),INDEX([4]Weighting!$B$2:$C$40,MATCH(AD$1,[4]Weighting!$A$2:$A$10,0),MATCH(AD35,[4]Weighting!$B$1:$C$1,0)),VLOOKUP(H35,'[4]List table'!$C$2:$D$5,2,0))</f>
        <v>13</v>
      </c>
      <c r="V35" s="22" t="s">
        <v>199</v>
      </c>
      <c r="W35" s="22" t="s">
        <v>199</v>
      </c>
      <c r="X35" s="22" t="s">
        <v>226</v>
      </c>
      <c r="Y35" s="22" t="s">
        <v>199</v>
      </c>
      <c r="Z35" s="22" t="s">
        <v>226</v>
      </c>
      <c r="AA35" s="22" t="s">
        <v>199</v>
      </c>
      <c r="AB35" s="22" t="s">
        <v>199</v>
      </c>
      <c r="AC35" s="22" t="s">
        <v>226</v>
      </c>
      <c r="AD35" s="22" t="s">
        <v>226</v>
      </c>
      <c r="AE35" s="22" t="s">
        <v>226</v>
      </c>
      <c r="AF35" s="22"/>
    </row>
    <row r="36" spans="1:33" ht="30" x14ac:dyDescent="0.25">
      <c r="A36" s="31" t="s">
        <v>96</v>
      </c>
      <c r="B36" s="20" t="s">
        <v>97</v>
      </c>
      <c r="C36" s="20" t="s">
        <v>267</v>
      </c>
      <c r="D36" s="30" t="s">
        <v>450</v>
      </c>
      <c r="E36" s="20" t="s">
        <v>95</v>
      </c>
      <c r="F36" s="43" t="s">
        <v>387</v>
      </c>
      <c r="G36" s="18" t="s">
        <v>269</v>
      </c>
      <c r="H36" s="20" t="s">
        <v>224</v>
      </c>
      <c r="I36" s="20" t="s">
        <v>226</v>
      </c>
      <c r="J36" s="20" t="s">
        <v>97</v>
      </c>
      <c r="K36" s="15"/>
      <c r="L36" s="15"/>
      <c r="M36" s="15"/>
      <c r="N36" s="15" t="s">
        <v>199</v>
      </c>
      <c r="O36" s="15" t="s">
        <v>199</v>
      </c>
      <c r="P36" s="15"/>
      <c r="Q36" s="15"/>
      <c r="R36" s="15"/>
      <c r="S36" s="19" t="str">
        <f t="shared" si="0"/>
        <v>Yes</v>
      </c>
      <c r="T36" s="20"/>
      <c r="U36" s="21">
        <f>SUM(INDEX([4]Weighting!$B$2:$C$40,MATCH(V$1,[4]Weighting!$A$2:$A$10,0),MATCH(V36,[4]Weighting!$B$1:$C$1,0)),INDEX([4]Weighting!$B$2:$C$40,MATCH(W$1,[4]Weighting!$A$2:$A$10,0),MATCH(W36,[4]Weighting!$B$1:$C$1,0)),INDEX([4]Weighting!$B$2:$C$40,MATCH(X$1,[4]Weighting!$A$2:$A$10,0),MATCH(X36,[4]Weighting!$B$1:$C$1,0)),INDEX([4]Weighting!$B$2:$C$40,MATCH(Y$1,[4]Weighting!$A$2:$A$10,0),MATCH(Y36,[4]Weighting!$B$1:$C$1,0)),INDEX([4]Weighting!$B$2:$C$40,MATCH(Z$1,[4]Weighting!$A$2:$A$10,0),MATCH(Z36,[4]Weighting!$B$1:$C$1,0)),INDEX([4]Weighting!$B$2:$C$40,MATCH(AA$1,[4]Weighting!$A$2:$A$10,0),MATCH(AA36,[4]Weighting!$B$1:$C$1,0)),INDEX([4]Weighting!$B$2:$C$40,MATCH(AB$1,[4]Weighting!$A$2:$A$10,0),MATCH(AB36,[4]Weighting!$B$1:$C$1,0)),INDEX([4]Weighting!$B$2:$C$40,MATCH(AC$1,[4]Weighting!$A$2:$A$10,0),MATCH(AC36,[4]Weighting!$B$1:$C$1,0)),INDEX([4]Weighting!$B$2:$C$40,MATCH(AD$1,[4]Weighting!$A$2:$A$10,0),MATCH(AD36,[4]Weighting!$B$1:$C$1,0)),VLOOKUP(H36,'[4]List table'!$C$2:$D$5,2,0))</f>
        <v>8</v>
      </c>
      <c r="V36" s="25" t="s">
        <v>199</v>
      </c>
      <c r="W36" s="22" t="s">
        <v>226</v>
      </c>
      <c r="X36" s="22" t="s">
        <v>226</v>
      </c>
      <c r="Y36" s="22" t="s">
        <v>226</v>
      </c>
      <c r="Z36" s="22" t="s">
        <v>226</v>
      </c>
      <c r="AA36" s="22" t="s">
        <v>226</v>
      </c>
      <c r="AB36" s="22" t="s">
        <v>226</v>
      </c>
      <c r="AC36" s="22" t="s">
        <v>226</v>
      </c>
      <c r="AD36" s="22" t="s">
        <v>199</v>
      </c>
      <c r="AE36" s="22" t="s">
        <v>226</v>
      </c>
      <c r="AF36" s="22"/>
      <c r="AG36" s="24" t="s">
        <v>270</v>
      </c>
    </row>
    <row r="37" spans="1:33" ht="45" x14ac:dyDescent="0.25">
      <c r="A37" s="31" t="s">
        <v>98</v>
      </c>
      <c r="B37" s="20" t="s">
        <v>99</v>
      </c>
      <c r="C37" s="45" t="s">
        <v>451</v>
      </c>
      <c r="D37" s="30" t="s">
        <v>452</v>
      </c>
      <c r="E37" s="20" t="s">
        <v>95</v>
      </c>
      <c r="F37" s="43" t="s">
        <v>388</v>
      </c>
      <c r="G37" s="17"/>
      <c r="H37" s="20" t="s">
        <v>224</v>
      </c>
      <c r="I37" s="20" t="s">
        <v>226</v>
      </c>
      <c r="J37" s="20" t="s">
        <v>379</v>
      </c>
      <c r="K37" s="15"/>
      <c r="L37" s="15"/>
      <c r="M37" s="15"/>
      <c r="N37" s="15" t="s">
        <v>199</v>
      </c>
      <c r="O37" s="15" t="s">
        <v>199</v>
      </c>
      <c r="P37" s="15"/>
      <c r="Q37" s="15"/>
      <c r="R37" s="15"/>
      <c r="S37" s="19" t="str">
        <f t="shared" si="0"/>
        <v>Yes</v>
      </c>
      <c r="T37" s="20"/>
      <c r="U37" s="21">
        <f>SUM(INDEX([4]Weighting!$B$2:$C$40,MATCH(V$1,[4]Weighting!$A$2:$A$10,0),MATCH(V37,[4]Weighting!$B$1:$C$1,0)),INDEX([4]Weighting!$B$2:$C$40,MATCH(W$1,[4]Weighting!$A$2:$A$10,0),MATCH(W37,[4]Weighting!$B$1:$C$1,0)),INDEX([4]Weighting!$B$2:$C$40,MATCH(X$1,[4]Weighting!$A$2:$A$10,0),MATCH(X37,[4]Weighting!$B$1:$C$1,0)),INDEX([4]Weighting!$B$2:$C$40,MATCH(Y$1,[4]Weighting!$A$2:$A$10,0),MATCH(Y37,[4]Weighting!$B$1:$C$1,0)),INDEX([4]Weighting!$B$2:$C$40,MATCH(Z$1,[4]Weighting!$A$2:$A$10,0),MATCH(Z37,[4]Weighting!$B$1:$C$1,0)),INDEX([4]Weighting!$B$2:$C$40,MATCH(AA$1,[4]Weighting!$A$2:$A$10,0),MATCH(AA37,[4]Weighting!$B$1:$C$1,0)),INDEX([4]Weighting!$B$2:$C$40,MATCH(AB$1,[4]Weighting!$A$2:$A$10,0),MATCH(AB37,[4]Weighting!$B$1:$C$1,0)),INDEX([4]Weighting!$B$2:$C$40,MATCH(AC$1,[4]Weighting!$A$2:$A$10,0),MATCH(AC37,[4]Weighting!$B$1:$C$1,0)),INDEX([4]Weighting!$B$2:$C$40,MATCH(AD$1,[4]Weighting!$A$2:$A$10,0),MATCH(AD37,[4]Weighting!$B$1:$C$1,0)),VLOOKUP(H37,'[4]List table'!$C$2:$D$5,2,0))</f>
        <v>13</v>
      </c>
      <c r="V37" s="22" t="s">
        <v>199</v>
      </c>
      <c r="W37" s="22" t="s">
        <v>226</v>
      </c>
      <c r="X37" s="22" t="s">
        <v>226</v>
      </c>
      <c r="Y37" s="22" t="s">
        <v>199</v>
      </c>
      <c r="Z37" s="22" t="s">
        <v>226</v>
      </c>
      <c r="AA37" s="22" t="s">
        <v>226</v>
      </c>
      <c r="AB37" s="22" t="s">
        <v>226</v>
      </c>
      <c r="AC37" s="22" t="s">
        <v>199</v>
      </c>
      <c r="AD37" s="22" t="s">
        <v>199</v>
      </c>
      <c r="AE37" s="22" t="s">
        <v>226</v>
      </c>
      <c r="AF37" s="22"/>
      <c r="AG37" s="24" t="s">
        <v>273</v>
      </c>
    </row>
    <row r="38" spans="1:33" ht="259.89999999999998" customHeight="1" x14ac:dyDescent="0.25">
      <c r="A38" s="31" t="s">
        <v>100</v>
      </c>
      <c r="B38" s="20" t="s">
        <v>66</v>
      </c>
      <c r="C38" s="20" t="s">
        <v>274</v>
      </c>
      <c r="D38" s="46" t="s">
        <v>453</v>
      </c>
      <c r="E38" s="20" t="s">
        <v>95</v>
      </c>
      <c r="F38" s="20"/>
      <c r="G38" s="18" t="s">
        <v>276</v>
      </c>
      <c r="H38" s="20" t="s">
        <v>224</v>
      </c>
      <c r="I38" s="20" t="s">
        <v>226</v>
      </c>
      <c r="J38" s="20" t="s">
        <v>378</v>
      </c>
      <c r="K38" s="15"/>
      <c r="L38" s="15"/>
      <c r="M38" s="15"/>
      <c r="N38" s="15" t="s">
        <v>199</v>
      </c>
      <c r="O38" s="15" t="s">
        <v>199</v>
      </c>
      <c r="P38" s="15"/>
      <c r="Q38" s="15"/>
      <c r="R38" s="15"/>
      <c r="S38" s="19" t="str">
        <f t="shared" si="0"/>
        <v>Yes</v>
      </c>
      <c r="T38" s="20"/>
      <c r="U38" s="21">
        <f>SUM(INDEX([4]Weighting!$B$2:$C$40,MATCH(V$1,[4]Weighting!$A$2:$A$10,0),MATCH(V38,[4]Weighting!$B$1:$C$1,0)),INDEX([4]Weighting!$B$2:$C$40,MATCH(W$1,[4]Weighting!$A$2:$A$10,0),MATCH(W38,[4]Weighting!$B$1:$C$1,0)),INDEX([4]Weighting!$B$2:$C$40,MATCH(X$1,[4]Weighting!$A$2:$A$10,0),MATCH(X38,[4]Weighting!$B$1:$C$1,0)),INDEX([4]Weighting!$B$2:$C$40,MATCH(Y$1,[4]Weighting!$A$2:$A$10,0),MATCH(Y38,[4]Weighting!$B$1:$C$1,0)),INDEX([4]Weighting!$B$2:$C$40,MATCH(Z$1,[4]Weighting!$A$2:$A$10,0),MATCH(Z38,[4]Weighting!$B$1:$C$1,0)),INDEX([4]Weighting!$B$2:$C$40,MATCH(AA$1,[4]Weighting!$A$2:$A$10,0),MATCH(AA38,[4]Weighting!$B$1:$C$1,0)),INDEX([4]Weighting!$B$2:$C$40,MATCH(AB$1,[4]Weighting!$A$2:$A$10,0),MATCH(AB38,[4]Weighting!$B$1:$C$1,0)),INDEX([4]Weighting!$B$2:$C$40,MATCH(AC$1,[4]Weighting!$A$2:$A$10,0),MATCH(AC38,[4]Weighting!$B$1:$C$1,0)),INDEX([4]Weighting!$B$2:$C$40,MATCH(AD$1,[4]Weighting!$A$2:$A$10,0),MATCH(AD38,[4]Weighting!$B$1:$C$1,0)),VLOOKUP(H38,'[4]List table'!$C$2:$D$5,2,0))</f>
        <v>7</v>
      </c>
      <c r="V38" s="22" t="s">
        <v>199</v>
      </c>
      <c r="W38" s="22" t="s">
        <v>226</v>
      </c>
      <c r="X38" s="22" t="s">
        <v>226</v>
      </c>
      <c r="Y38" s="22" t="s">
        <v>226</v>
      </c>
      <c r="Z38" s="22" t="s">
        <v>226</v>
      </c>
      <c r="AA38" s="22" t="s">
        <v>226</v>
      </c>
      <c r="AB38" s="22" t="s">
        <v>226</v>
      </c>
      <c r="AC38" s="22" t="s">
        <v>226</v>
      </c>
      <c r="AD38" s="22" t="s">
        <v>226</v>
      </c>
      <c r="AE38" s="22" t="s">
        <v>226</v>
      </c>
      <c r="AF38" s="22"/>
      <c r="AG38" s="23" t="s">
        <v>277</v>
      </c>
    </row>
    <row r="39" spans="1:33" ht="43.15" customHeight="1" x14ac:dyDescent="0.25">
      <c r="A39" s="31" t="s">
        <v>101</v>
      </c>
      <c r="B39" s="20" t="s">
        <v>102</v>
      </c>
      <c r="C39" s="20" t="s">
        <v>278</v>
      </c>
      <c r="D39" s="46" t="s">
        <v>454</v>
      </c>
      <c r="E39" s="20" t="s">
        <v>95</v>
      </c>
      <c r="F39" s="20"/>
      <c r="G39" s="18" t="s">
        <v>276</v>
      </c>
      <c r="H39" s="20" t="s">
        <v>224</v>
      </c>
      <c r="I39" s="20" t="s">
        <v>226</v>
      </c>
      <c r="J39" s="20" t="s">
        <v>378</v>
      </c>
      <c r="K39" s="15"/>
      <c r="L39" s="15"/>
      <c r="M39" s="15"/>
      <c r="N39" s="15" t="s">
        <v>199</v>
      </c>
      <c r="O39" s="15" t="s">
        <v>199</v>
      </c>
      <c r="P39" s="15"/>
      <c r="Q39" s="15"/>
      <c r="R39" s="15"/>
      <c r="S39" s="19" t="str">
        <f t="shared" si="0"/>
        <v>Yes</v>
      </c>
      <c r="T39" s="20"/>
      <c r="U39" s="21">
        <f>SUM(INDEX([4]Weighting!$B$2:$C$40,MATCH(V$1,[4]Weighting!$A$2:$A$10,0),MATCH(V39,[4]Weighting!$B$1:$C$1,0)),INDEX([4]Weighting!$B$2:$C$40,MATCH(W$1,[4]Weighting!$A$2:$A$10,0),MATCH(W39,[4]Weighting!$B$1:$C$1,0)),INDEX([4]Weighting!$B$2:$C$40,MATCH(X$1,[4]Weighting!$A$2:$A$10,0),MATCH(X39,[4]Weighting!$B$1:$C$1,0)),INDEX([4]Weighting!$B$2:$C$40,MATCH(Y$1,[4]Weighting!$A$2:$A$10,0),MATCH(Y39,[4]Weighting!$B$1:$C$1,0)),INDEX([4]Weighting!$B$2:$C$40,MATCH(Z$1,[4]Weighting!$A$2:$A$10,0),MATCH(Z39,[4]Weighting!$B$1:$C$1,0)),INDEX([4]Weighting!$B$2:$C$40,MATCH(AA$1,[4]Weighting!$A$2:$A$10,0),MATCH(AA39,[4]Weighting!$B$1:$C$1,0)),INDEX([4]Weighting!$B$2:$C$40,MATCH(AB$1,[4]Weighting!$A$2:$A$10,0),MATCH(AB39,[4]Weighting!$B$1:$C$1,0)),INDEX([4]Weighting!$B$2:$C$40,MATCH(AC$1,[4]Weighting!$A$2:$A$10,0),MATCH(AC39,[4]Weighting!$B$1:$C$1,0)),INDEX([4]Weighting!$B$2:$C$40,MATCH(AD$1,[4]Weighting!$A$2:$A$10,0),MATCH(AD39,[4]Weighting!$B$1:$C$1,0)),VLOOKUP(H39,'[4]List table'!$C$2:$D$5,2,0))</f>
        <v>11</v>
      </c>
      <c r="V39" s="22" t="s">
        <v>199</v>
      </c>
      <c r="W39" s="22" t="s">
        <v>199</v>
      </c>
      <c r="X39" s="22" t="s">
        <v>226</v>
      </c>
      <c r="Y39" s="22" t="s">
        <v>226</v>
      </c>
      <c r="Z39" s="22" t="s">
        <v>199</v>
      </c>
      <c r="AA39" s="22" t="s">
        <v>226</v>
      </c>
      <c r="AB39" s="22" t="s">
        <v>226</v>
      </c>
      <c r="AC39" s="22" t="s">
        <v>199</v>
      </c>
      <c r="AD39" s="22" t="s">
        <v>226</v>
      </c>
      <c r="AE39" s="22" t="s">
        <v>226</v>
      </c>
      <c r="AF39" s="22"/>
    </row>
    <row r="40" spans="1:33" ht="45" x14ac:dyDescent="0.25">
      <c r="A40" s="19" t="s">
        <v>103</v>
      </c>
      <c r="B40" s="22" t="s">
        <v>104</v>
      </c>
      <c r="C40" s="22" t="s">
        <v>280</v>
      </c>
      <c r="D40" s="47" t="s">
        <v>105</v>
      </c>
      <c r="E40" s="22" t="s">
        <v>95</v>
      </c>
      <c r="F40" s="20" t="s">
        <v>381</v>
      </c>
      <c r="G40" s="22"/>
      <c r="H40" s="22" t="s">
        <v>224</v>
      </c>
      <c r="I40" s="20" t="s">
        <v>226</v>
      </c>
      <c r="J40" s="20" t="s">
        <v>382</v>
      </c>
      <c r="K40" s="19"/>
      <c r="L40" s="19"/>
      <c r="M40" s="19"/>
      <c r="N40" s="15" t="s">
        <v>199</v>
      </c>
      <c r="O40" s="15" t="s">
        <v>199</v>
      </c>
      <c r="P40" s="19"/>
      <c r="Q40" s="19"/>
      <c r="R40" s="19"/>
      <c r="S40" s="19" t="str">
        <f t="shared" si="0"/>
        <v>Yes</v>
      </c>
      <c r="T40" s="20" t="s">
        <v>455</v>
      </c>
      <c r="U40" s="21">
        <f>SUM(INDEX([4]Weighting!$B$2:$C$40,MATCH(V$1,[4]Weighting!$A$2:$A$10,0),MATCH(V40,[4]Weighting!$B$1:$C$1,0)),INDEX([4]Weighting!$B$2:$C$40,MATCH(W$1,[4]Weighting!$A$2:$A$10,0),MATCH(W40,[4]Weighting!$B$1:$C$1,0)),INDEX([4]Weighting!$B$2:$C$40,MATCH(X$1,[4]Weighting!$A$2:$A$10,0),MATCH(X40,[4]Weighting!$B$1:$C$1,0)),INDEX([4]Weighting!$B$2:$C$40,MATCH(Y$1,[4]Weighting!$A$2:$A$10,0),MATCH(Y40,[4]Weighting!$B$1:$C$1,0)),INDEX([4]Weighting!$B$2:$C$40,MATCH(Z$1,[4]Weighting!$A$2:$A$10,0),MATCH(Z40,[4]Weighting!$B$1:$C$1,0)),INDEX([4]Weighting!$B$2:$C$40,MATCH(AA$1,[4]Weighting!$A$2:$A$10,0),MATCH(AA40,[4]Weighting!$B$1:$C$1,0)),INDEX([4]Weighting!$B$2:$C$40,MATCH(AB$1,[4]Weighting!$A$2:$A$10,0),MATCH(AB40,[4]Weighting!$B$1:$C$1,0)),INDEX([4]Weighting!$B$2:$C$40,MATCH(AC$1,[4]Weighting!$A$2:$A$10,0),MATCH(AC40,[4]Weighting!$B$1:$C$1,0)),INDEX([4]Weighting!$B$2:$C$40,MATCH(AD$1,[4]Weighting!$A$2:$A$10,0),MATCH(AD40,[4]Weighting!$B$1:$C$1,0)),VLOOKUP(H40,'[4]List table'!$C$2:$D$5,2,0))</f>
        <v>14</v>
      </c>
      <c r="V40" s="22" t="s">
        <v>199</v>
      </c>
      <c r="W40" s="25" t="s">
        <v>199</v>
      </c>
      <c r="X40" s="25" t="s">
        <v>199</v>
      </c>
      <c r="Y40" s="22" t="s">
        <v>199</v>
      </c>
      <c r="Z40" s="22" t="s">
        <v>199</v>
      </c>
      <c r="AA40" s="22" t="s">
        <v>226</v>
      </c>
      <c r="AB40" s="25" t="s">
        <v>199</v>
      </c>
      <c r="AC40" s="22" t="s">
        <v>226</v>
      </c>
      <c r="AD40" s="25" t="s">
        <v>199</v>
      </c>
      <c r="AE40" s="22" t="s">
        <v>226</v>
      </c>
      <c r="AF40" s="22"/>
    </row>
    <row r="41" spans="1:33" ht="43.15" customHeight="1" x14ac:dyDescent="0.25">
      <c r="A41" s="19" t="s">
        <v>106</v>
      </c>
      <c r="B41" s="25" t="s">
        <v>107</v>
      </c>
      <c r="C41" s="43" t="s">
        <v>281</v>
      </c>
      <c r="D41" s="18" t="s">
        <v>456</v>
      </c>
      <c r="E41" s="22" t="s">
        <v>108</v>
      </c>
      <c r="F41" s="43" t="s">
        <v>107</v>
      </c>
      <c r="G41" s="22"/>
      <c r="H41" s="22"/>
      <c r="I41" s="20" t="s">
        <v>226</v>
      </c>
      <c r="J41" s="20" t="s">
        <v>108</v>
      </c>
      <c r="K41" s="19"/>
      <c r="L41" s="19"/>
      <c r="M41" s="19"/>
      <c r="N41" s="15" t="s">
        <v>199</v>
      </c>
      <c r="O41" s="15" t="s">
        <v>199</v>
      </c>
      <c r="P41" s="19"/>
      <c r="Q41" s="19"/>
      <c r="R41" s="19"/>
      <c r="S41" s="19" t="s">
        <v>226</v>
      </c>
      <c r="T41" s="20" t="s">
        <v>457</v>
      </c>
      <c r="U41" s="21" t="e">
        <f>SUM(INDEX([4]Weighting!$B$2:$C$40,MATCH(V$1,[4]Weighting!$A$2:$A$10,0),MATCH(V41,[4]Weighting!$B$1:$C$1,0)),INDEX([4]Weighting!$B$2:$C$40,MATCH(W$1,[4]Weighting!$A$2:$A$10,0),MATCH(W41,[4]Weighting!$B$1:$C$1,0)),INDEX([4]Weighting!$B$2:$C$40,MATCH(X$1,[4]Weighting!$A$2:$A$10,0),MATCH(X41,[4]Weighting!$B$1:$C$1,0)),INDEX([4]Weighting!$B$2:$C$40,MATCH(Y$1,[4]Weighting!$A$2:$A$10,0),MATCH(Y41,[4]Weighting!$B$1:$C$1,0)),INDEX([4]Weighting!$B$2:$C$40,MATCH(Z$1,[4]Weighting!$A$2:$A$10,0),MATCH(Z41,[4]Weighting!$B$1:$C$1,0)),INDEX([4]Weighting!$B$2:$C$40,MATCH(AA$1,[4]Weighting!$A$2:$A$10,0),MATCH(AA41,[4]Weighting!$B$1:$C$1,0)),INDEX([4]Weighting!$B$2:$C$40,MATCH(AB$1,[4]Weighting!$A$2:$A$10,0),MATCH(AB41,[4]Weighting!$B$1:$C$1,0)),INDEX([4]Weighting!$B$2:$C$40,MATCH(AC$1,[4]Weighting!$A$2:$A$10,0),MATCH(AC41,[4]Weighting!$B$1:$C$1,0)),INDEX([4]Weighting!$B$2:$C$40,MATCH(AD$1,[4]Weighting!$A$2:$A$10,0),MATCH(AD41,[4]Weighting!$B$1:$C$1,0)),VLOOKUP(H41,'[4]List table'!$C$2:$D$5,2,0))</f>
        <v>#N/A</v>
      </c>
      <c r="V41" s="22"/>
      <c r="W41" s="22"/>
      <c r="X41" s="22"/>
      <c r="Y41" s="22"/>
      <c r="Z41" s="22"/>
      <c r="AA41" s="22"/>
      <c r="AB41" s="22"/>
      <c r="AC41" s="22"/>
      <c r="AD41" s="22"/>
      <c r="AE41" s="22"/>
      <c r="AF41" s="22"/>
      <c r="AG41" s="24" t="s">
        <v>283</v>
      </c>
    </row>
    <row r="42" spans="1:33" ht="45" x14ac:dyDescent="0.25">
      <c r="A42" s="19" t="s">
        <v>109</v>
      </c>
      <c r="B42" s="22" t="s">
        <v>110</v>
      </c>
      <c r="C42" s="22"/>
      <c r="D42" s="47" t="s">
        <v>458</v>
      </c>
      <c r="E42" s="22" t="s">
        <v>111</v>
      </c>
      <c r="F42" s="20"/>
      <c r="G42" s="22"/>
      <c r="H42" s="22" t="s">
        <v>224</v>
      </c>
      <c r="I42" s="20" t="s">
        <v>226</v>
      </c>
      <c r="J42" s="20" t="s">
        <v>382</v>
      </c>
      <c r="K42" s="19"/>
      <c r="L42" s="19"/>
      <c r="M42" s="19"/>
      <c r="N42" s="15" t="s">
        <v>199</v>
      </c>
      <c r="O42" s="15" t="s">
        <v>199</v>
      </c>
      <c r="P42" s="19"/>
      <c r="Q42" s="19"/>
      <c r="R42" s="19"/>
      <c r="S42" s="19" t="str">
        <f t="shared" si="0"/>
        <v>Yes</v>
      </c>
      <c r="T42" s="20" t="s">
        <v>455</v>
      </c>
      <c r="U42" s="21">
        <f>SUM(INDEX([4]Weighting!$B$2:$C$40,MATCH(V$1,[4]Weighting!$A$2:$A$10,0),MATCH(V42,[4]Weighting!$B$1:$C$1,0)),INDEX([4]Weighting!$B$2:$C$40,MATCH(W$1,[4]Weighting!$A$2:$A$10,0),MATCH(W42,[4]Weighting!$B$1:$C$1,0)),INDEX([4]Weighting!$B$2:$C$40,MATCH(X$1,[4]Weighting!$A$2:$A$10,0),MATCH(X42,[4]Weighting!$B$1:$C$1,0)),INDEX([4]Weighting!$B$2:$C$40,MATCH(Y$1,[4]Weighting!$A$2:$A$10,0),MATCH(Y42,[4]Weighting!$B$1:$C$1,0)),INDEX([4]Weighting!$B$2:$C$40,MATCH(Z$1,[4]Weighting!$A$2:$A$10,0),MATCH(Z42,[4]Weighting!$B$1:$C$1,0)),INDEX([4]Weighting!$B$2:$C$40,MATCH(AA$1,[4]Weighting!$A$2:$A$10,0),MATCH(AA42,[4]Weighting!$B$1:$C$1,0)),INDEX([4]Weighting!$B$2:$C$40,MATCH(AB$1,[4]Weighting!$A$2:$A$10,0),MATCH(AB42,[4]Weighting!$B$1:$C$1,0)),INDEX([4]Weighting!$B$2:$C$40,MATCH(AC$1,[4]Weighting!$A$2:$A$10,0),MATCH(AC42,[4]Weighting!$B$1:$C$1,0)),INDEX([4]Weighting!$B$2:$C$40,MATCH(AD$1,[4]Weighting!$A$2:$A$10,0),MATCH(AD42,[4]Weighting!$B$1:$C$1,0)),VLOOKUP(H42,'[4]List table'!$C$2:$D$5,2,0))</f>
        <v>14</v>
      </c>
      <c r="V42" s="22" t="s">
        <v>199</v>
      </c>
      <c r="W42" s="25" t="s">
        <v>199</v>
      </c>
      <c r="X42" s="25" t="s">
        <v>199</v>
      </c>
      <c r="Y42" s="22" t="s">
        <v>199</v>
      </c>
      <c r="Z42" s="22" t="s">
        <v>199</v>
      </c>
      <c r="AA42" s="22" t="s">
        <v>226</v>
      </c>
      <c r="AB42" s="25" t="s">
        <v>199</v>
      </c>
      <c r="AC42" s="22" t="s">
        <v>226</v>
      </c>
      <c r="AD42" s="25" t="s">
        <v>199</v>
      </c>
      <c r="AE42" s="22" t="s">
        <v>226</v>
      </c>
      <c r="AF42" s="22"/>
    </row>
    <row r="43" spans="1:33" ht="30" x14ac:dyDescent="0.25">
      <c r="A43" s="19" t="s">
        <v>112</v>
      </c>
      <c r="B43" s="22" t="s">
        <v>113</v>
      </c>
      <c r="C43" s="22"/>
      <c r="D43" s="47" t="s">
        <v>459</v>
      </c>
      <c r="E43" s="22" t="s">
        <v>111</v>
      </c>
      <c r="F43" s="20"/>
      <c r="G43" s="22"/>
      <c r="H43" s="22" t="s">
        <v>224</v>
      </c>
      <c r="I43" s="20" t="s">
        <v>226</v>
      </c>
      <c r="J43" s="20" t="s">
        <v>379</v>
      </c>
      <c r="K43" s="19"/>
      <c r="L43" s="19"/>
      <c r="M43" s="19"/>
      <c r="N43" s="15" t="s">
        <v>199</v>
      </c>
      <c r="O43" s="15" t="s">
        <v>199</v>
      </c>
      <c r="P43" s="19"/>
      <c r="Q43" s="19"/>
      <c r="R43" s="19"/>
      <c r="S43" s="19" t="str">
        <f t="shared" si="0"/>
        <v>Yes</v>
      </c>
      <c r="T43" s="20"/>
      <c r="U43" s="21">
        <f>SUM(INDEX([4]Weighting!$B$2:$C$40,MATCH(V$1,[4]Weighting!$A$2:$A$10,0),MATCH(V43,[4]Weighting!$B$1:$C$1,0)),INDEX([4]Weighting!$B$2:$C$40,MATCH(W$1,[4]Weighting!$A$2:$A$10,0),MATCH(W43,[4]Weighting!$B$1:$C$1,0)),INDEX([4]Weighting!$B$2:$C$40,MATCH(X$1,[4]Weighting!$A$2:$A$10,0),MATCH(X43,[4]Weighting!$B$1:$C$1,0)),INDEX([4]Weighting!$B$2:$C$40,MATCH(Y$1,[4]Weighting!$A$2:$A$10,0),MATCH(Y43,[4]Weighting!$B$1:$C$1,0)),INDEX([4]Weighting!$B$2:$C$40,MATCH(Z$1,[4]Weighting!$A$2:$A$10,0),MATCH(Z43,[4]Weighting!$B$1:$C$1,0)),INDEX([4]Weighting!$B$2:$C$40,MATCH(AA$1,[4]Weighting!$A$2:$A$10,0),MATCH(AA43,[4]Weighting!$B$1:$C$1,0)),INDEX([4]Weighting!$B$2:$C$40,MATCH(AB$1,[4]Weighting!$A$2:$A$10,0),MATCH(AB43,[4]Weighting!$B$1:$C$1,0)),INDEX([4]Weighting!$B$2:$C$40,MATCH(AC$1,[4]Weighting!$A$2:$A$10,0),MATCH(AC43,[4]Weighting!$B$1:$C$1,0)),INDEX([4]Weighting!$B$2:$C$40,MATCH(AD$1,[4]Weighting!$A$2:$A$10,0),MATCH(AD43,[4]Weighting!$B$1:$C$1,0)),VLOOKUP(H43,'[4]List table'!$C$2:$D$5,2,0))</f>
        <v>13</v>
      </c>
      <c r="V43" s="22" t="s">
        <v>199</v>
      </c>
      <c r="W43" s="22" t="s">
        <v>226</v>
      </c>
      <c r="X43" s="22" t="s">
        <v>226</v>
      </c>
      <c r="Y43" s="22" t="s">
        <v>199</v>
      </c>
      <c r="Z43" s="22" t="s">
        <v>226</v>
      </c>
      <c r="AA43" s="22" t="s">
        <v>226</v>
      </c>
      <c r="AB43" s="22" t="s">
        <v>226</v>
      </c>
      <c r="AC43" s="22" t="s">
        <v>199</v>
      </c>
      <c r="AD43" s="22" t="s">
        <v>199</v>
      </c>
      <c r="AE43" s="22" t="s">
        <v>226</v>
      </c>
      <c r="AF43" s="22"/>
    </row>
    <row r="44" spans="1:33" ht="45" x14ac:dyDescent="0.25">
      <c r="A44" s="19" t="s">
        <v>116</v>
      </c>
      <c r="B44" s="20" t="s">
        <v>117</v>
      </c>
      <c r="C44" s="22" t="s">
        <v>287</v>
      </c>
      <c r="D44" s="48" t="s">
        <v>460</v>
      </c>
      <c r="E44" s="22" t="s">
        <v>126</v>
      </c>
      <c r="F44" s="20"/>
      <c r="G44" s="22" t="s">
        <v>224</v>
      </c>
      <c r="H44" s="22" t="s">
        <v>224</v>
      </c>
      <c r="I44" s="20" t="s">
        <v>226</v>
      </c>
      <c r="J44" s="20" t="s">
        <v>126</v>
      </c>
      <c r="K44" s="19" t="s">
        <v>199</v>
      </c>
      <c r="L44" s="19" t="s">
        <v>199</v>
      </c>
      <c r="M44" s="19" t="s">
        <v>226</v>
      </c>
      <c r="N44" s="15" t="s">
        <v>199</v>
      </c>
      <c r="O44" s="15" t="s">
        <v>199</v>
      </c>
      <c r="P44" s="19" t="s">
        <v>226</v>
      </c>
      <c r="Q44" s="19" t="s">
        <v>226</v>
      </c>
      <c r="R44" s="19" t="s">
        <v>199</v>
      </c>
      <c r="S44" s="19" t="str">
        <f t="shared" si="0"/>
        <v>Yes</v>
      </c>
      <c r="T44" s="20"/>
      <c r="U44" s="21">
        <f>SUM(INDEX([4]Weighting!$B$2:$C$40,MATCH(V$1,[4]Weighting!$A$2:$A$10,0),MATCH(V44,[4]Weighting!$B$1:$C$1,0)),INDEX([4]Weighting!$B$2:$C$40,MATCH(W$1,[4]Weighting!$A$2:$A$10,0),MATCH(W44,[4]Weighting!$B$1:$C$1,0)),INDEX([4]Weighting!$B$2:$C$40,MATCH(X$1,[4]Weighting!$A$2:$A$10,0),MATCH(X44,[4]Weighting!$B$1:$C$1,0)),INDEX([4]Weighting!$B$2:$C$40,MATCH(Y$1,[4]Weighting!$A$2:$A$10,0),MATCH(Y44,[4]Weighting!$B$1:$C$1,0)),INDEX([4]Weighting!$B$2:$C$40,MATCH(Z$1,[4]Weighting!$A$2:$A$10,0),MATCH(Z44,[4]Weighting!$B$1:$C$1,0)),INDEX([4]Weighting!$B$2:$C$40,MATCH(AA$1,[4]Weighting!$A$2:$A$10,0),MATCH(AA44,[4]Weighting!$B$1:$C$1,0)),INDEX([4]Weighting!$B$2:$C$40,MATCH(AB$1,[4]Weighting!$A$2:$A$10,0),MATCH(AB44,[4]Weighting!$B$1:$C$1,0)),INDEX([4]Weighting!$B$2:$C$40,MATCH(AC$1,[4]Weighting!$A$2:$A$10,0),MATCH(AC44,[4]Weighting!$B$1:$C$1,0)),INDEX([4]Weighting!$B$2:$C$40,MATCH(AD$1,[4]Weighting!$A$2:$A$10,0),MATCH(AD44,[4]Weighting!$B$1:$C$1,0)),VLOOKUP(H44,'[4]List table'!$C$2:$D$5,2,0))</f>
        <v>9</v>
      </c>
      <c r="V44" s="22" t="s">
        <v>199</v>
      </c>
      <c r="W44" s="44" t="s">
        <v>226</v>
      </c>
      <c r="X44" s="44" t="s">
        <v>199</v>
      </c>
      <c r="Y44" s="22" t="s">
        <v>226</v>
      </c>
      <c r="Z44" s="22" t="s">
        <v>199</v>
      </c>
      <c r="AA44" s="22" t="s">
        <v>226</v>
      </c>
      <c r="AB44" s="22" t="s">
        <v>199</v>
      </c>
      <c r="AC44" s="22" t="s">
        <v>199</v>
      </c>
      <c r="AD44" s="22" t="s">
        <v>226</v>
      </c>
      <c r="AE44" s="22" t="s">
        <v>226</v>
      </c>
      <c r="AF44" s="22"/>
      <c r="AG44" s="24" t="s">
        <v>289</v>
      </c>
    </row>
    <row r="45" spans="1:33" ht="30" x14ac:dyDescent="0.25">
      <c r="A45" s="19" t="s">
        <v>120</v>
      </c>
      <c r="B45" s="20" t="s">
        <v>121</v>
      </c>
      <c r="C45" s="49" t="s">
        <v>290</v>
      </c>
      <c r="D45" s="48" t="s">
        <v>461</v>
      </c>
      <c r="E45" s="22" t="s">
        <v>122</v>
      </c>
      <c r="F45" s="20" t="s">
        <v>224</v>
      </c>
      <c r="G45" s="22" t="s">
        <v>224</v>
      </c>
      <c r="H45" s="22" t="s">
        <v>224</v>
      </c>
      <c r="I45" s="20" t="s">
        <v>226</v>
      </c>
      <c r="J45" s="20" t="s">
        <v>122</v>
      </c>
      <c r="K45" s="19" t="s">
        <v>226</v>
      </c>
      <c r="L45" s="19" t="s">
        <v>226</v>
      </c>
      <c r="M45" s="19" t="s">
        <v>226</v>
      </c>
      <c r="N45" s="15" t="s">
        <v>226</v>
      </c>
      <c r="O45" s="15" t="s">
        <v>226</v>
      </c>
      <c r="P45" s="19" t="s">
        <v>226</v>
      </c>
      <c r="Q45" s="19" t="s">
        <v>226</v>
      </c>
      <c r="R45" s="19" t="s">
        <v>226</v>
      </c>
      <c r="S45" s="19" t="str">
        <f t="shared" si="0"/>
        <v>No</v>
      </c>
      <c r="T45" s="20" t="s">
        <v>462</v>
      </c>
      <c r="U45" s="21" t="e">
        <f>SUM(INDEX([4]Weighting!$B$2:$C$40,MATCH(V$1,[4]Weighting!$A$2:$A$10,0),MATCH(V45,[4]Weighting!$B$1:$C$1,0)),INDEX([4]Weighting!$B$2:$C$40,MATCH(W$1,[4]Weighting!$A$2:$A$10,0),MATCH(W45,[4]Weighting!$B$1:$C$1,0)),INDEX([4]Weighting!$B$2:$C$40,MATCH(X$1,[4]Weighting!$A$2:$A$10,0),MATCH(X45,[4]Weighting!$B$1:$C$1,0)),INDEX([4]Weighting!$B$2:$C$40,MATCH(Y$1,[4]Weighting!$A$2:$A$10,0),MATCH(Y45,[4]Weighting!$B$1:$C$1,0)),INDEX([4]Weighting!$B$2:$C$40,MATCH(Z$1,[4]Weighting!$A$2:$A$10,0),MATCH(Z45,[4]Weighting!$B$1:$C$1,0)),INDEX([4]Weighting!$B$2:$C$40,MATCH(AA$1,[4]Weighting!$A$2:$A$10,0),MATCH(AA45,[4]Weighting!$B$1:$C$1,0)),INDEX([4]Weighting!$B$2:$C$40,MATCH(AB$1,[4]Weighting!$A$2:$A$10,0),MATCH(AB45,[4]Weighting!$B$1:$C$1,0)),INDEX([4]Weighting!$B$2:$C$40,MATCH(AC$1,[4]Weighting!$A$2:$A$10,0),MATCH(AC45,[4]Weighting!$B$1:$C$1,0)),INDEX([4]Weighting!$B$2:$C$40,MATCH(AD$1,[4]Weighting!$A$2:$A$10,0),MATCH(AD45,[4]Weighting!$B$1:$C$1,0)),VLOOKUP(H45,'[4]List table'!$C$2:$D$5,2,0))</f>
        <v>#N/A</v>
      </c>
      <c r="V45" s="22"/>
      <c r="W45" s="22"/>
      <c r="X45" s="22"/>
      <c r="Y45" s="22"/>
      <c r="Z45" s="22"/>
      <c r="AA45" s="22"/>
      <c r="AB45" s="22"/>
      <c r="AC45" s="22"/>
      <c r="AD45" s="22"/>
      <c r="AE45" s="22"/>
      <c r="AF45" s="22"/>
      <c r="AG45" s="24" t="s">
        <v>292</v>
      </c>
    </row>
    <row r="46" spans="1:33" s="42" customFormat="1" x14ac:dyDescent="0.25">
      <c r="A46" s="39" t="s">
        <v>432</v>
      </c>
      <c r="B46" s="36" t="s">
        <v>433</v>
      </c>
      <c r="C46" s="41" t="s">
        <v>434</v>
      </c>
      <c r="D46" s="50" t="s">
        <v>224</v>
      </c>
      <c r="E46" s="41" t="s">
        <v>126</v>
      </c>
      <c r="F46" s="36" t="s">
        <v>224</v>
      </c>
      <c r="G46" s="41" t="s">
        <v>224</v>
      </c>
      <c r="H46" s="41" t="s">
        <v>224</v>
      </c>
      <c r="I46" s="36" t="s">
        <v>226</v>
      </c>
      <c r="J46" s="36" t="s">
        <v>126</v>
      </c>
      <c r="K46" s="19" t="s">
        <v>226</v>
      </c>
      <c r="L46" s="19" t="s">
        <v>226</v>
      </c>
      <c r="M46" s="19" t="s">
        <v>226</v>
      </c>
      <c r="N46" s="15" t="s">
        <v>226</v>
      </c>
      <c r="O46" s="15" t="s">
        <v>226</v>
      </c>
      <c r="P46" s="19" t="s">
        <v>226</v>
      </c>
      <c r="Q46" s="19" t="s">
        <v>226</v>
      </c>
      <c r="R46" s="19" t="s">
        <v>226</v>
      </c>
      <c r="S46" s="19" t="str">
        <f t="shared" si="0"/>
        <v>No</v>
      </c>
      <c r="T46" s="20" t="s">
        <v>463</v>
      </c>
      <c r="U46" s="21" t="e">
        <f>SUM(INDEX([4]Weighting!$B$2:$C$40,MATCH(V$1,[4]Weighting!$A$2:$A$10,0),MATCH(V46,[4]Weighting!$B$1:$C$1,0)),INDEX([4]Weighting!$B$2:$C$40,MATCH(W$1,[4]Weighting!$A$2:$A$10,0),MATCH(W46,[4]Weighting!$B$1:$C$1,0)),INDEX([4]Weighting!$B$2:$C$40,MATCH(X$1,[4]Weighting!$A$2:$A$10,0),MATCH(X46,[4]Weighting!$B$1:$C$1,0)),INDEX([4]Weighting!$B$2:$C$40,MATCH(Y$1,[4]Weighting!$A$2:$A$10,0),MATCH(Y46,[4]Weighting!$B$1:$C$1,0)),INDEX([4]Weighting!$B$2:$C$40,MATCH(Z$1,[4]Weighting!$A$2:$A$10,0),MATCH(Z46,[4]Weighting!$B$1:$C$1,0)),INDEX([4]Weighting!$B$2:$C$40,MATCH(AA$1,[4]Weighting!$A$2:$A$10,0),MATCH(AA46,[4]Weighting!$B$1:$C$1,0)),INDEX([4]Weighting!$B$2:$C$40,MATCH(AB$1,[4]Weighting!$A$2:$A$10,0),MATCH(AB46,[4]Weighting!$B$1:$C$1,0)),INDEX([4]Weighting!$B$2:$C$40,MATCH(AC$1,[4]Weighting!$A$2:$A$10,0),MATCH(AC46,[4]Weighting!$B$1:$C$1,0)),INDEX([4]Weighting!$B$2:$C$40,MATCH(AD$1,[4]Weighting!$A$2:$A$10,0),MATCH(AD46,[4]Weighting!$B$1:$C$1,0)),VLOOKUP(H46,'[4]List table'!$C$2:$D$5,2,0))</f>
        <v>#N/A</v>
      </c>
      <c r="V46" s="22"/>
      <c r="W46" s="22"/>
      <c r="X46" s="22"/>
      <c r="Y46" s="22"/>
      <c r="Z46" s="22"/>
      <c r="AA46" s="22"/>
      <c r="AB46" s="22"/>
      <c r="AC46" s="22"/>
      <c r="AD46" s="22"/>
      <c r="AE46" s="22"/>
      <c r="AF46" s="22"/>
    </row>
    <row r="47" spans="1:33" ht="21.4" customHeight="1" x14ac:dyDescent="0.25">
      <c r="A47" s="19" t="s">
        <v>123</v>
      </c>
      <c r="B47" s="20" t="s">
        <v>124</v>
      </c>
      <c r="C47" s="22" t="s">
        <v>293</v>
      </c>
      <c r="D47" s="18" t="s">
        <v>125</v>
      </c>
      <c r="E47" s="22" t="s">
        <v>126</v>
      </c>
      <c r="F47" s="20" t="s">
        <v>224</v>
      </c>
      <c r="G47" s="22" t="s">
        <v>224</v>
      </c>
      <c r="H47" s="22" t="s">
        <v>224</v>
      </c>
      <c r="I47" s="20" t="s">
        <v>226</v>
      </c>
      <c r="J47" s="20" t="s">
        <v>126</v>
      </c>
      <c r="K47" s="19" t="s">
        <v>226</v>
      </c>
      <c r="L47" s="19" t="s">
        <v>226</v>
      </c>
      <c r="M47" s="19" t="s">
        <v>226</v>
      </c>
      <c r="N47" s="15" t="s">
        <v>199</v>
      </c>
      <c r="O47" s="15" t="s">
        <v>226</v>
      </c>
      <c r="P47" s="19" t="s">
        <v>226</v>
      </c>
      <c r="Q47" s="19" t="s">
        <v>226</v>
      </c>
      <c r="R47" s="19" t="s">
        <v>226</v>
      </c>
      <c r="S47" s="19" t="str">
        <f t="shared" si="0"/>
        <v>No</v>
      </c>
      <c r="T47" s="20" t="s">
        <v>463</v>
      </c>
      <c r="U47" s="21" t="e">
        <f>SUM(INDEX([4]Weighting!$B$2:$C$40,MATCH(V$1,[4]Weighting!$A$2:$A$10,0),MATCH(V47,[4]Weighting!$B$1:$C$1,0)),INDEX([4]Weighting!$B$2:$C$40,MATCH(W$1,[4]Weighting!$A$2:$A$10,0),MATCH(W47,[4]Weighting!$B$1:$C$1,0)),INDEX([4]Weighting!$B$2:$C$40,MATCH(X$1,[4]Weighting!$A$2:$A$10,0),MATCH(X47,[4]Weighting!$B$1:$C$1,0)),INDEX([4]Weighting!$B$2:$C$40,MATCH(Y$1,[4]Weighting!$A$2:$A$10,0),MATCH(Y47,[4]Weighting!$B$1:$C$1,0)),INDEX([4]Weighting!$B$2:$C$40,MATCH(Z$1,[4]Weighting!$A$2:$A$10,0),MATCH(Z47,[4]Weighting!$B$1:$C$1,0)),INDEX([4]Weighting!$B$2:$C$40,MATCH(AA$1,[4]Weighting!$A$2:$A$10,0),MATCH(AA47,[4]Weighting!$B$1:$C$1,0)),INDEX([4]Weighting!$B$2:$C$40,MATCH(AB$1,[4]Weighting!$A$2:$A$10,0),MATCH(AB47,[4]Weighting!$B$1:$C$1,0)),INDEX([4]Weighting!$B$2:$C$40,MATCH(AC$1,[4]Weighting!$A$2:$A$10,0),MATCH(AC47,[4]Weighting!$B$1:$C$1,0)),INDEX([4]Weighting!$B$2:$C$40,MATCH(AD$1,[4]Weighting!$A$2:$A$10,0),MATCH(AD47,[4]Weighting!$B$1:$C$1,0)),VLOOKUP(H47,'[4]List table'!$C$2:$D$5,2,0))</f>
        <v>#N/A</v>
      </c>
      <c r="V47" s="22"/>
      <c r="W47" s="22"/>
      <c r="X47" s="22"/>
      <c r="Y47" s="22"/>
      <c r="Z47" s="22"/>
      <c r="AA47" s="22"/>
      <c r="AB47" s="22"/>
      <c r="AC47" s="22"/>
      <c r="AD47" s="22"/>
      <c r="AE47" s="22"/>
      <c r="AF47" s="22"/>
      <c r="AG47" s="24" t="s">
        <v>294</v>
      </c>
    </row>
    <row r="48" spans="1:33" ht="30" x14ac:dyDescent="0.25">
      <c r="A48" s="19" t="s">
        <v>127</v>
      </c>
      <c r="B48" s="20" t="s">
        <v>128</v>
      </c>
      <c r="C48" s="22" t="s">
        <v>295</v>
      </c>
      <c r="D48" s="18" t="s">
        <v>125</v>
      </c>
      <c r="E48" s="22" t="s">
        <v>126</v>
      </c>
      <c r="F48" s="20" t="s">
        <v>224</v>
      </c>
      <c r="G48" s="22" t="s">
        <v>224</v>
      </c>
      <c r="H48" s="22" t="s">
        <v>224</v>
      </c>
      <c r="I48" s="20" t="s">
        <v>226</v>
      </c>
      <c r="J48" s="20" t="s">
        <v>126</v>
      </c>
      <c r="K48" s="19" t="s">
        <v>226</v>
      </c>
      <c r="L48" s="19" t="s">
        <v>226</v>
      </c>
      <c r="M48" s="19" t="s">
        <v>226</v>
      </c>
      <c r="N48" s="15" t="s">
        <v>226</v>
      </c>
      <c r="O48" s="15" t="s">
        <v>226</v>
      </c>
      <c r="P48" s="19" t="s">
        <v>226</v>
      </c>
      <c r="Q48" s="19" t="s">
        <v>226</v>
      </c>
      <c r="R48" s="19" t="s">
        <v>226</v>
      </c>
      <c r="S48" s="19" t="str">
        <f t="shared" si="0"/>
        <v>No</v>
      </c>
      <c r="T48" s="20" t="s">
        <v>463</v>
      </c>
      <c r="U48" s="21" t="e">
        <f>SUM(INDEX([4]Weighting!$B$2:$C$40,MATCH(V$1,[4]Weighting!$A$2:$A$10,0),MATCH(V48,[4]Weighting!$B$1:$C$1,0)),INDEX([4]Weighting!$B$2:$C$40,MATCH(W$1,[4]Weighting!$A$2:$A$10,0),MATCH(W48,[4]Weighting!$B$1:$C$1,0)),INDEX([4]Weighting!$B$2:$C$40,MATCH(X$1,[4]Weighting!$A$2:$A$10,0),MATCH(X48,[4]Weighting!$B$1:$C$1,0)),INDEX([4]Weighting!$B$2:$C$40,MATCH(Y$1,[4]Weighting!$A$2:$A$10,0),MATCH(Y48,[4]Weighting!$B$1:$C$1,0)),INDEX([4]Weighting!$B$2:$C$40,MATCH(Z$1,[4]Weighting!$A$2:$A$10,0),MATCH(Z48,[4]Weighting!$B$1:$C$1,0)),INDEX([4]Weighting!$B$2:$C$40,MATCH(AA$1,[4]Weighting!$A$2:$A$10,0),MATCH(AA48,[4]Weighting!$B$1:$C$1,0)),INDEX([4]Weighting!$B$2:$C$40,MATCH(AB$1,[4]Weighting!$A$2:$A$10,0),MATCH(AB48,[4]Weighting!$B$1:$C$1,0)),INDEX([4]Weighting!$B$2:$C$40,MATCH(AC$1,[4]Weighting!$A$2:$A$10,0),MATCH(AC48,[4]Weighting!$B$1:$C$1,0)),INDEX([4]Weighting!$B$2:$C$40,MATCH(AD$1,[4]Weighting!$A$2:$A$10,0),MATCH(AD48,[4]Weighting!$B$1:$C$1,0)),VLOOKUP(H48,'[4]List table'!$C$2:$D$5,2,0))</f>
        <v>#N/A</v>
      </c>
      <c r="V48" s="22"/>
      <c r="W48" s="22"/>
      <c r="X48" s="22"/>
      <c r="Y48" s="22"/>
      <c r="Z48" s="22"/>
      <c r="AA48" s="22"/>
      <c r="AB48" s="22"/>
      <c r="AC48" s="22"/>
      <c r="AD48" s="22"/>
      <c r="AE48" s="22"/>
      <c r="AF48" s="22"/>
      <c r="AG48" s="24" t="s">
        <v>296</v>
      </c>
    </row>
    <row r="49" spans="1:33" ht="45" x14ac:dyDescent="0.25">
      <c r="A49" s="19" t="s">
        <v>129</v>
      </c>
      <c r="B49" s="20" t="s">
        <v>130</v>
      </c>
      <c r="C49" s="20" t="s">
        <v>297</v>
      </c>
      <c r="D49" s="48" t="s">
        <v>464</v>
      </c>
      <c r="E49" s="22" t="s">
        <v>126</v>
      </c>
      <c r="F49" s="20"/>
      <c r="G49" s="22" t="s">
        <v>224</v>
      </c>
      <c r="H49" s="22" t="s">
        <v>224</v>
      </c>
      <c r="I49" s="20" t="s">
        <v>226</v>
      </c>
      <c r="J49" s="20" t="s">
        <v>126</v>
      </c>
      <c r="K49" s="19" t="s">
        <v>226</v>
      </c>
      <c r="L49" s="19" t="s">
        <v>199</v>
      </c>
      <c r="M49" s="19" t="s">
        <v>226</v>
      </c>
      <c r="N49" s="15" t="s">
        <v>226</v>
      </c>
      <c r="O49" s="15" t="s">
        <v>199</v>
      </c>
      <c r="P49" s="19" t="s">
        <v>226</v>
      </c>
      <c r="Q49" s="19" t="s">
        <v>226</v>
      </c>
      <c r="R49" s="19" t="s">
        <v>199</v>
      </c>
      <c r="S49" s="19" t="str">
        <f t="shared" si="0"/>
        <v>Yes</v>
      </c>
      <c r="T49" s="20"/>
      <c r="U49" s="21">
        <f>SUM(INDEX([4]Weighting!$B$2:$C$40,MATCH(V$1,[4]Weighting!$A$2:$A$10,0),MATCH(V49,[4]Weighting!$B$1:$C$1,0)),INDEX([4]Weighting!$B$2:$C$40,MATCH(W$1,[4]Weighting!$A$2:$A$10,0),MATCH(W49,[4]Weighting!$B$1:$C$1,0)),INDEX([4]Weighting!$B$2:$C$40,MATCH(X$1,[4]Weighting!$A$2:$A$10,0),MATCH(X49,[4]Weighting!$B$1:$C$1,0)),INDEX([4]Weighting!$B$2:$C$40,MATCH(Y$1,[4]Weighting!$A$2:$A$10,0),MATCH(Y49,[4]Weighting!$B$1:$C$1,0)),INDEX([4]Weighting!$B$2:$C$40,MATCH(Z$1,[4]Weighting!$A$2:$A$10,0),MATCH(Z49,[4]Weighting!$B$1:$C$1,0)),INDEX([4]Weighting!$B$2:$C$40,MATCH(AA$1,[4]Weighting!$A$2:$A$10,0),MATCH(AA49,[4]Weighting!$B$1:$C$1,0)),INDEX([4]Weighting!$B$2:$C$40,MATCH(AB$1,[4]Weighting!$A$2:$A$10,0),MATCH(AB49,[4]Weighting!$B$1:$C$1,0)),INDEX([4]Weighting!$B$2:$C$40,MATCH(AC$1,[4]Weighting!$A$2:$A$10,0),MATCH(AC49,[4]Weighting!$B$1:$C$1,0)),INDEX([4]Weighting!$B$2:$C$40,MATCH(AD$1,[4]Weighting!$A$2:$A$10,0),MATCH(AD49,[4]Weighting!$B$1:$C$1,0)),VLOOKUP(H49,'[4]List table'!$C$2:$D$5,2,0))</f>
        <v>10</v>
      </c>
      <c r="V49" s="22" t="s">
        <v>199</v>
      </c>
      <c r="W49" s="44" t="s">
        <v>226</v>
      </c>
      <c r="X49" s="44" t="s">
        <v>199</v>
      </c>
      <c r="Y49" s="22" t="s">
        <v>226</v>
      </c>
      <c r="Z49" s="22" t="s">
        <v>199</v>
      </c>
      <c r="AA49" s="22" t="s">
        <v>226</v>
      </c>
      <c r="AB49" s="22" t="s">
        <v>199</v>
      </c>
      <c r="AC49" s="22" t="s">
        <v>199</v>
      </c>
      <c r="AD49" s="22" t="s">
        <v>199</v>
      </c>
      <c r="AE49" s="22" t="s">
        <v>226</v>
      </c>
      <c r="AF49" s="22"/>
      <c r="AG49" s="24" t="s">
        <v>299</v>
      </c>
    </row>
    <row r="50" spans="1:33" s="53" customFormat="1" ht="114.4" customHeight="1" x14ac:dyDescent="0.25">
      <c r="A50" s="34" t="s">
        <v>131</v>
      </c>
      <c r="B50" s="43" t="s">
        <v>132</v>
      </c>
      <c r="C50" s="43" t="s">
        <v>300</v>
      </c>
      <c r="D50" s="48" t="s">
        <v>465</v>
      </c>
      <c r="E50" s="25" t="s">
        <v>126</v>
      </c>
      <c r="F50" s="43" t="s">
        <v>224</v>
      </c>
      <c r="G50" s="25" t="s">
        <v>224</v>
      </c>
      <c r="H50" s="25" t="s">
        <v>224</v>
      </c>
      <c r="I50" s="43" t="s">
        <v>226</v>
      </c>
      <c r="J50" s="43" t="s">
        <v>126</v>
      </c>
      <c r="K50" s="34" t="s">
        <v>226</v>
      </c>
      <c r="L50" s="34" t="s">
        <v>226</v>
      </c>
      <c r="M50" s="34" t="s">
        <v>226</v>
      </c>
      <c r="N50" s="51" t="s">
        <v>226</v>
      </c>
      <c r="O50" s="51" t="s">
        <v>226</v>
      </c>
      <c r="P50" s="34" t="s">
        <v>226</v>
      </c>
      <c r="Q50" s="34" t="s">
        <v>226</v>
      </c>
      <c r="R50" s="34" t="s">
        <v>226</v>
      </c>
      <c r="S50" s="34" t="str">
        <f t="shared" si="0"/>
        <v>No</v>
      </c>
      <c r="T50" s="25" t="s">
        <v>463</v>
      </c>
      <c r="U50" s="52" t="e">
        <f>SUM(INDEX([4]Weighting!$B$2:$C$40,MATCH(V$1,[4]Weighting!$A$2:$A$10,0),MATCH(V50,[4]Weighting!$B$1:$C$1,0)),INDEX([4]Weighting!$B$2:$C$40,MATCH(W$1,[4]Weighting!$A$2:$A$10,0),MATCH(W50,[4]Weighting!$B$1:$C$1,0)),INDEX([4]Weighting!$B$2:$C$40,MATCH(X$1,[4]Weighting!$A$2:$A$10,0),MATCH(X50,[4]Weighting!$B$1:$C$1,0)),INDEX([4]Weighting!$B$2:$C$40,MATCH(Y$1,[4]Weighting!$A$2:$A$10,0),MATCH(Y50,[4]Weighting!$B$1:$C$1,0)),INDEX([4]Weighting!$B$2:$C$40,MATCH(Z$1,[4]Weighting!$A$2:$A$10,0),MATCH(Z50,[4]Weighting!$B$1:$C$1,0)),INDEX([4]Weighting!$B$2:$C$40,MATCH(AA$1,[4]Weighting!$A$2:$A$10,0),MATCH(AA50,[4]Weighting!$B$1:$C$1,0)),INDEX([4]Weighting!$B$2:$C$40,MATCH(AB$1,[4]Weighting!$A$2:$A$10,0),MATCH(AB50,[4]Weighting!$B$1:$C$1,0)),INDEX([4]Weighting!$B$2:$C$40,MATCH(AC$1,[4]Weighting!$A$2:$A$10,0),MATCH(AC50,[4]Weighting!$B$1:$C$1,0)),INDEX([4]Weighting!$B$2:$C$40,MATCH(AD$1,[4]Weighting!$A$2:$A$10,0),MATCH(AD50,[4]Weighting!$B$1:$C$1,0)),VLOOKUP(H50,'[4]List table'!$C$2:$D$5,2,0))</f>
        <v>#N/A</v>
      </c>
      <c r="V50" s="25"/>
      <c r="W50" s="25"/>
      <c r="X50" s="25"/>
      <c r="Y50" s="25"/>
      <c r="Z50" s="25"/>
      <c r="AA50" s="25"/>
      <c r="AB50" s="25"/>
      <c r="AC50" s="25"/>
      <c r="AD50" s="25"/>
      <c r="AE50" s="25"/>
      <c r="AF50" s="25"/>
      <c r="AG50" s="53" t="s">
        <v>302</v>
      </c>
    </row>
    <row r="51" spans="1:33" s="58" customFormat="1" ht="30" x14ac:dyDescent="0.25">
      <c r="A51" s="54" t="s">
        <v>133</v>
      </c>
      <c r="B51" s="30" t="s">
        <v>134</v>
      </c>
      <c r="C51" s="30" t="s">
        <v>303</v>
      </c>
      <c r="D51" s="48" t="s">
        <v>466</v>
      </c>
      <c r="E51" s="55" t="s">
        <v>108</v>
      </c>
      <c r="F51" s="30" t="s">
        <v>224</v>
      </c>
      <c r="G51" s="55" t="s">
        <v>224</v>
      </c>
      <c r="H51" s="55" t="s">
        <v>224</v>
      </c>
      <c r="I51" s="30" t="s">
        <v>226</v>
      </c>
      <c r="J51" s="30" t="s">
        <v>382</v>
      </c>
      <c r="K51" s="54" t="s">
        <v>226</v>
      </c>
      <c r="L51" s="54" t="s">
        <v>226</v>
      </c>
      <c r="M51" s="54" t="s">
        <v>226</v>
      </c>
      <c r="N51" s="56" t="s">
        <v>226</v>
      </c>
      <c r="O51" s="56" t="s">
        <v>226</v>
      </c>
      <c r="P51" s="54" t="s">
        <v>226</v>
      </c>
      <c r="Q51" s="54" t="s">
        <v>226</v>
      </c>
      <c r="R51" s="54" t="s">
        <v>226</v>
      </c>
      <c r="S51" s="54" t="str">
        <f t="shared" si="0"/>
        <v>No</v>
      </c>
      <c r="T51" s="30" t="s">
        <v>463</v>
      </c>
      <c r="U51" s="57" t="e">
        <f>SUM(INDEX([4]Weighting!$B$2:$C$40,MATCH(V$1,[4]Weighting!$A$2:$A$10,0),MATCH(V51,[4]Weighting!$B$1:$C$1,0)),INDEX([4]Weighting!$B$2:$C$40,MATCH(W$1,[4]Weighting!$A$2:$A$10,0),MATCH(W51,[4]Weighting!$B$1:$C$1,0)),INDEX([4]Weighting!$B$2:$C$40,MATCH(X$1,[4]Weighting!$A$2:$A$10,0),MATCH(X51,[4]Weighting!$B$1:$C$1,0)),INDEX([4]Weighting!$B$2:$C$40,MATCH(Y$1,[4]Weighting!$A$2:$A$10,0),MATCH(Y51,[4]Weighting!$B$1:$C$1,0)),INDEX([4]Weighting!$B$2:$C$40,MATCH(Z$1,[4]Weighting!$A$2:$A$10,0),MATCH(Z51,[4]Weighting!$B$1:$C$1,0)),INDEX([4]Weighting!$B$2:$C$40,MATCH(AA$1,[4]Weighting!$A$2:$A$10,0),MATCH(AA51,[4]Weighting!$B$1:$C$1,0)),INDEX([4]Weighting!$B$2:$C$40,MATCH(AB$1,[4]Weighting!$A$2:$A$10,0),MATCH(AB51,[4]Weighting!$B$1:$C$1,0)),INDEX([4]Weighting!$B$2:$C$40,MATCH(AC$1,[4]Weighting!$A$2:$A$10,0),MATCH(AC51,[4]Weighting!$B$1:$C$1,0)),INDEX([4]Weighting!$B$2:$C$40,MATCH(AD$1,[4]Weighting!$A$2:$A$10,0),MATCH(AD51,[4]Weighting!$B$1:$C$1,0)),VLOOKUP(H51,'[4]List table'!$C$2:$D$5,2,0))</f>
        <v>#N/A</v>
      </c>
      <c r="V51" s="55"/>
      <c r="W51" s="55"/>
      <c r="X51" s="55"/>
      <c r="Y51" s="55"/>
      <c r="Z51" s="55"/>
      <c r="AA51" s="55"/>
      <c r="AB51" s="55"/>
      <c r="AC51" s="55"/>
      <c r="AD51" s="55"/>
      <c r="AE51" s="55"/>
      <c r="AF51" s="55"/>
      <c r="AG51" s="58" t="s">
        <v>305</v>
      </c>
    </row>
    <row r="52" spans="1:33" s="58" customFormat="1" ht="30" x14ac:dyDescent="0.25">
      <c r="A52" s="54" t="s">
        <v>135</v>
      </c>
      <c r="B52" s="30" t="s">
        <v>136</v>
      </c>
      <c r="C52" s="55" t="s">
        <v>136</v>
      </c>
      <c r="D52" s="48" t="s">
        <v>466</v>
      </c>
      <c r="E52" s="48" t="s">
        <v>108</v>
      </c>
      <c r="F52" s="30" t="s">
        <v>224</v>
      </c>
      <c r="G52" s="55" t="s">
        <v>224</v>
      </c>
      <c r="H52" s="55" t="s">
        <v>224</v>
      </c>
      <c r="I52" s="30" t="s">
        <v>226</v>
      </c>
      <c r="J52" s="30" t="s">
        <v>382</v>
      </c>
      <c r="K52" s="54" t="s">
        <v>226</v>
      </c>
      <c r="L52" s="54" t="s">
        <v>226</v>
      </c>
      <c r="M52" s="54" t="s">
        <v>226</v>
      </c>
      <c r="N52" s="56" t="s">
        <v>226</v>
      </c>
      <c r="O52" s="56" t="s">
        <v>226</v>
      </c>
      <c r="P52" s="54" t="s">
        <v>226</v>
      </c>
      <c r="Q52" s="54" t="s">
        <v>226</v>
      </c>
      <c r="R52" s="54" t="s">
        <v>226</v>
      </c>
      <c r="S52" s="54" t="str">
        <f t="shared" si="0"/>
        <v>No</v>
      </c>
      <c r="T52" s="30" t="s">
        <v>463</v>
      </c>
      <c r="U52" s="57" t="e">
        <f>SUM(INDEX([4]Weighting!$B$2:$C$40,MATCH(V$1,[4]Weighting!$A$2:$A$10,0),MATCH(V52,[4]Weighting!$B$1:$C$1,0)),INDEX([4]Weighting!$B$2:$C$40,MATCH(W$1,[4]Weighting!$A$2:$A$10,0),MATCH(W52,[4]Weighting!$B$1:$C$1,0)),INDEX([4]Weighting!$B$2:$C$40,MATCH(X$1,[4]Weighting!$A$2:$A$10,0),MATCH(X52,[4]Weighting!$B$1:$C$1,0)),INDEX([4]Weighting!$B$2:$C$40,MATCH(Y$1,[4]Weighting!$A$2:$A$10,0),MATCH(Y52,[4]Weighting!$B$1:$C$1,0)),INDEX([4]Weighting!$B$2:$C$40,MATCH(Z$1,[4]Weighting!$A$2:$A$10,0),MATCH(Z52,[4]Weighting!$B$1:$C$1,0)),INDEX([4]Weighting!$B$2:$C$40,MATCH(AA$1,[4]Weighting!$A$2:$A$10,0),MATCH(AA52,[4]Weighting!$B$1:$C$1,0)),INDEX([4]Weighting!$B$2:$C$40,MATCH(AB$1,[4]Weighting!$A$2:$A$10,0),MATCH(AB52,[4]Weighting!$B$1:$C$1,0)),INDEX([4]Weighting!$B$2:$C$40,MATCH(AC$1,[4]Weighting!$A$2:$A$10,0),MATCH(AC52,[4]Weighting!$B$1:$C$1,0)),INDEX([4]Weighting!$B$2:$C$40,MATCH(AD$1,[4]Weighting!$A$2:$A$10,0),MATCH(AD52,[4]Weighting!$B$1:$C$1,0)),VLOOKUP(H52,'[4]List table'!$C$2:$D$5,2,0))</f>
        <v>#N/A</v>
      </c>
      <c r="V52" s="55"/>
      <c r="W52" s="55"/>
      <c r="X52" s="55"/>
      <c r="Y52" s="55"/>
      <c r="Z52" s="55"/>
      <c r="AA52" s="55"/>
      <c r="AB52" s="55"/>
      <c r="AC52" s="55"/>
      <c r="AD52" s="55"/>
      <c r="AE52" s="55"/>
      <c r="AF52" s="55"/>
      <c r="AG52" s="58" t="s">
        <v>306</v>
      </c>
    </row>
    <row r="53" spans="1:33" ht="30" x14ac:dyDescent="0.25">
      <c r="A53" s="19" t="s">
        <v>137</v>
      </c>
      <c r="B53" s="20" t="s">
        <v>138</v>
      </c>
      <c r="C53" s="22" t="s">
        <v>307</v>
      </c>
      <c r="D53" s="18" t="s">
        <v>467</v>
      </c>
      <c r="E53" s="22" t="s">
        <v>126</v>
      </c>
      <c r="F53" s="43" t="s">
        <v>389</v>
      </c>
      <c r="G53" s="25" t="s">
        <v>309</v>
      </c>
      <c r="H53" s="22" t="s">
        <v>224</v>
      </c>
      <c r="I53" s="20" t="s">
        <v>226</v>
      </c>
      <c r="J53" s="20" t="s">
        <v>126</v>
      </c>
      <c r="K53" s="19" t="s">
        <v>226</v>
      </c>
      <c r="L53" s="19" t="s">
        <v>226</v>
      </c>
      <c r="M53" s="19" t="s">
        <v>226</v>
      </c>
      <c r="N53" s="15" t="s">
        <v>226</v>
      </c>
      <c r="O53" s="15" t="s">
        <v>226</v>
      </c>
      <c r="P53" s="19" t="s">
        <v>226</v>
      </c>
      <c r="Q53" s="19" t="s">
        <v>226</v>
      </c>
      <c r="R53" s="19" t="s">
        <v>226</v>
      </c>
      <c r="S53" s="19" t="str">
        <f t="shared" si="0"/>
        <v>No</v>
      </c>
      <c r="T53" s="20" t="s">
        <v>463</v>
      </c>
      <c r="U53" s="21" t="e">
        <f>SUM(INDEX([4]Weighting!$B$2:$C$40,MATCH(V$1,[4]Weighting!$A$2:$A$10,0),MATCH(V53,[4]Weighting!$B$1:$C$1,0)),INDEX([4]Weighting!$B$2:$C$40,MATCH(W$1,[4]Weighting!$A$2:$A$10,0),MATCH(W53,[4]Weighting!$B$1:$C$1,0)),INDEX([4]Weighting!$B$2:$C$40,MATCH(X$1,[4]Weighting!$A$2:$A$10,0),MATCH(X53,[4]Weighting!$B$1:$C$1,0)),INDEX([4]Weighting!$B$2:$C$40,MATCH(Y$1,[4]Weighting!$A$2:$A$10,0),MATCH(Y53,[4]Weighting!$B$1:$C$1,0)),INDEX([4]Weighting!$B$2:$C$40,MATCH(Z$1,[4]Weighting!$A$2:$A$10,0),MATCH(Z53,[4]Weighting!$B$1:$C$1,0)),INDEX([4]Weighting!$B$2:$C$40,MATCH(AA$1,[4]Weighting!$A$2:$A$10,0),MATCH(AA53,[4]Weighting!$B$1:$C$1,0)),INDEX([4]Weighting!$B$2:$C$40,MATCH(AB$1,[4]Weighting!$A$2:$A$10,0),MATCH(AB53,[4]Weighting!$B$1:$C$1,0)),INDEX([4]Weighting!$B$2:$C$40,MATCH(AC$1,[4]Weighting!$A$2:$A$10,0),MATCH(AC53,[4]Weighting!$B$1:$C$1,0)),INDEX([4]Weighting!$B$2:$C$40,MATCH(AD$1,[4]Weighting!$A$2:$A$10,0),MATCH(AD53,[4]Weighting!$B$1:$C$1,0)),VLOOKUP(H53,'[4]List table'!$C$2:$D$5,2,0))</f>
        <v>#N/A</v>
      </c>
      <c r="V53" s="22"/>
      <c r="W53" s="22"/>
      <c r="X53" s="22"/>
      <c r="Y53" s="22"/>
      <c r="Z53" s="22"/>
      <c r="AA53" s="22"/>
      <c r="AB53" s="22"/>
      <c r="AC53" s="22"/>
      <c r="AD53" s="22"/>
      <c r="AE53" s="22"/>
      <c r="AF53" s="22"/>
      <c r="AG53" s="24" t="s">
        <v>310</v>
      </c>
    </row>
    <row r="54" spans="1:33" s="64" customFormat="1" ht="30" x14ac:dyDescent="0.25">
      <c r="A54" s="59" t="s">
        <v>139</v>
      </c>
      <c r="B54" s="60" t="s">
        <v>140</v>
      </c>
      <c r="C54" s="61" t="s">
        <v>311</v>
      </c>
      <c r="D54" s="47" t="s">
        <v>468</v>
      </c>
      <c r="E54" s="61" t="s">
        <v>126</v>
      </c>
      <c r="F54" s="60" t="s">
        <v>224</v>
      </c>
      <c r="G54" s="61" t="s">
        <v>224</v>
      </c>
      <c r="H54" s="61" t="s">
        <v>224</v>
      </c>
      <c r="I54" s="60" t="s">
        <v>226</v>
      </c>
      <c r="J54" s="60" t="s">
        <v>126</v>
      </c>
      <c r="K54" s="59" t="s">
        <v>226</v>
      </c>
      <c r="L54" s="59" t="s">
        <v>226</v>
      </c>
      <c r="M54" s="59" t="s">
        <v>226</v>
      </c>
      <c r="N54" s="62" t="s">
        <v>199</v>
      </c>
      <c r="O54" s="62" t="s">
        <v>226</v>
      </c>
      <c r="P54" s="59" t="s">
        <v>226</v>
      </c>
      <c r="Q54" s="59" t="s">
        <v>226</v>
      </c>
      <c r="R54" s="59" t="s">
        <v>226</v>
      </c>
      <c r="S54" s="59" t="str">
        <f t="shared" si="0"/>
        <v>No</v>
      </c>
      <c r="T54" s="60" t="s">
        <v>469</v>
      </c>
      <c r="U54" s="63" t="e">
        <f>SUM(INDEX([4]Weighting!$B$2:$C$40,MATCH(V$1,[4]Weighting!$A$2:$A$10,0),MATCH(V54,[4]Weighting!$B$1:$C$1,0)),INDEX([4]Weighting!$B$2:$C$40,MATCH(W$1,[4]Weighting!$A$2:$A$10,0),MATCH(W54,[4]Weighting!$B$1:$C$1,0)),INDEX([4]Weighting!$B$2:$C$40,MATCH(X$1,[4]Weighting!$A$2:$A$10,0),MATCH(X54,[4]Weighting!$B$1:$C$1,0)),INDEX([4]Weighting!$B$2:$C$40,MATCH(Y$1,[4]Weighting!$A$2:$A$10,0),MATCH(Y54,[4]Weighting!$B$1:$C$1,0)),INDEX([4]Weighting!$B$2:$C$40,MATCH(Z$1,[4]Weighting!$A$2:$A$10,0),MATCH(Z54,[4]Weighting!$B$1:$C$1,0)),INDEX([4]Weighting!$B$2:$C$40,MATCH(AA$1,[4]Weighting!$A$2:$A$10,0),MATCH(AA54,[4]Weighting!$B$1:$C$1,0)),INDEX([4]Weighting!$B$2:$C$40,MATCH(AB$1,[4]Weighting!$A$2:$A$10,0),MATCH(AB54,[4]Weighting!$B$1:$C$1,0)),INDEX([4]Weighting!$B$2:$C$40,MATCH(AC$1,[4]Weighting!$A$2:$A$10,0),MATCH(AC54,[4]Weighting!$B$1:$C$1,0)),INDEX([4]Weighting!$B$2:$C$40,MATCH(AD$1,[4]Weighting!$A$2:$A$10,0),MATCH(AD54,[4]Weighting!$B$1:$C$1,0)),VLOOKUP(H54,'[4]List table'!$C$2:$D$5,2,0))</f>
        <v>#N/A</v>
      </c>
      <c r="V54" s="61"/>
      <c r="W54" s="61"/>
      <c r="X54" s="61"/>
      <c r="Y54" s="61"/>
      <c r="Z54" s="61"/>
      <c r="AA54" s="61"/>
      <c r="AB54" s="61"/>
      <c r="AC54" s="61"/>
      <c r="AD54" s="61"/>
      <c r="AE54" s="61"/>
      <c r="AF54" s="61"/>
    </row>
    <row r="55" spans="1:33" ht="30" x14ac:dyDescent="0.25">
      <c r="A55" s="19" t="s">
        <v>141</v>
      </c>
      <c r="B55" s="20" t="s">
        <v>142</v>
      </c>
      <c r="C55" s="20" t="s">
        <v>313</v>
      </c>
      <c r="D55" s="18" t="s">
        <v>470</v>
      </c>
      <c r="E55" s="22" t="s">
        <v>126</v>
      </c>
      <c r="F55" s="20"/>
      <c r="G55" s="72" t="s">
        <v>315</v>
      </c>
      <c r="H55" s="22" t="s">
        <v>224</v>
      </c>
      <c r="I55" s="20" t="s">
        <v>226</v>
      </c>
      <c r="J55" s="20" t="s">
        <v>126</v>
      </c>
      <c r="K55" s="19" t="s">
        <v>199</v>
      </c>
      <c r="L55" s="19" t="s">
        <v>199</v>
      </c>
      <c r="M55" s="19" t="s">
        <v>226</v>
      </c>
      <c r="N55" s="15" t="s">
        <v>199</v>
      </c>
      <c r="O55" s="15" t="s">
        <v>199</v>
      </c>
      <c r="P55" s="19" t="s">
        <v>226</v>
      </c>
      <c r="Q55" s="19" t="s">
        <v>226</v>
      </c>
      <c r="R55" s="19" t="s">
        <v>199</v>
      </c>
      <c r="S55" s="19" t="str">
        <f t="shared" si="0"/>
        <v>Yes</v>
      </c>
      <c r="T55" s="20"/>
      <c r="U55" s="21">
        <f>SUM(INDEX([4]Weighting!$B$2:$C$40,MATCH(V$1,[4]Weighting!$A$2:$A$10,0),MATCH(V55,[4]Weighting!$B$1:$C$1,0)),INDEX([4]Weighting!$B$2:$C$40,MATCH(W$1,[4]Weighting!$A$2:$A$10,0),MATCH(W55,[4]Weighting!$B$1:$C$1,0)),INDEX([4]Weighting!$B$2:$C$40,MATCH(X$1,[4]Weighting!$A$2:$A$10,0),MATCH(X55,[4]Weighting!$B$1:$C$1,0)),INDEX([4]Weighting!$B$2:$C$40,MATCH(Y$1,[4]Weighting!$A$2:$A$10,0),MATCH(Y55,[4]Weighting!$B$1:$C$1,0)),INDEX([4]Weighting!$B$2:$C$40,MATCH(Z$1,[4]Weighting!$A$2:$A$10,0),MATCH(Z55,[4]Weighting!$B$1:$C$1,0)),INDEX([4]Weighting!$B$2:$C$40,MATCH(AA$1,[4]Weighting!$A$2:$A$10,0),MATCH(AA55,[4]Weighting!$B$1:$C$1,0)),INDEX([4]Weighting!$B$2:$C$40,MATCH(AB$1,[4]Weighting!$A$2:$A$10,0),MATCH(AB55,[4]Weighting!$B$1:$C$1,0)),INDEX([4]Weighting!$B$2:$C$40,MATCH(AC$1,[4]Weighting!$A$2:$A$10,0),MATCH(AC55,[4]Weighting!$B$1:$C$1,0)),INDEX([4]Weighting!$B$2:$C$40,MATCH(AD$1,[4]Weighting!$A$2:$A$10,0),MATCH(AD55,[4]Weighting!$B$1:$C$1,0)),VLOOKUP(H55,'[4]List table'!$C$2:$D$5,2,0))</f>
        <v>13</v>
      </c>
      <c r="V55" s="22" t="s">
        <v>199</v>
      </c>
      <c r="W55" s="44" t="s">
        <v>199</v>
      </c>
      <c r="X55" s="44" t="s">
        <v>199</v>
      </c>
      <c r="Y55" s="22" t="s">
        <v>226</v>
      </c>
      <c r="Z55" s="22" t="s">
        <v>435</v>
      </c>
      <c r="AA55" s="22" t="s">
        <v>226</v>
      </c>
      <c r="AB55" s="22" t="s">
        <v>199</v>
      </c>
      <c r="AC55" s="22" t="s">
        <v>199</v>
      </c>
      <c r="AD55" s="22" t="s">
        <v>199</v>
      </c>
      <c r="AE55" s="22" t="s">
        <v>226</v>
      </c>
      <c r="AF55" s="22"/>
      <c r="AG55" s="24" t="s">
        <v>316</v>
      </c>
    </row>
    <row r="56" spans="1:33" s="53" customFormat="1" ht="30" x14ac:dyDescent="0.25">
      <c r="A56" s="34" t="s">
        <v>143</v>
      </c>
      <c r="B56" s="65" t="s">
        <v>144</v>
      </c>
      <c r="C56" s="43" t="s">
        <v>317</v>
      </c>
      <c r="D56" s="18" t="s">
        <v>471</v>
      </c>
      <c r="E56" s="25" t="s">
        <v>145</v>
      </c>
      <c r="F56" s="43"/>
      <c r="G56" s="25" t="s">
        <v>224</v>
      </c>
      <c r="H56" s="25" t="s">
        <v>224</v>
      </c>
      <c r="I56" s="43" t="s">
        <v>226</v>
      </c>
      <c r="J56" s="43" t="s">
        <v>126</v>
      </c>
      <c r="K56" s="34" t="s">
        <v>199</v>
      </c>
      <c r="L56" s="34" t="s">
        <v>199</v>
      </c>
      <c r="M56" s="34" t="s">
        <v>226</v>
      </c>
      <c r="N56" s="51" t="s">
        <v>199</v>
      </c>
      <c r="O56" s="51" t="s">
        <v>199</v>
      </c>
      <c r="P56" s="34" t="s">
        <v>226</v>
      </c>
      <c r="Q56" s="34" t="s">
        <v>226</v>
      </c>
      <c r="R56" s="34" t="s">
        <v>199</v>
      </c>
      <c r="S56" s="34" t="str">
        <f t="shared" si="0"/>
        <v>Yes</v>
      </c>
      <c r="T56" s="43"/>
      <c r="U56" s="52">
        <f>SUM(INDEX([4]Weighting!$B$2:$C$40,MATCH(V$1,[4]Weighting!$A$2:$A$10,0),MATCH(V56,[4]Weighting!$B$1:$C$1,0)),INDEX([4]Weighting!$B$2:$C$40,MATCH(W$1,[4]Weighting!$A$2:$A$10,0),MATCH(W56,[4]Weighting!$B$1:$C$1,0)),INDEX([4]Weighting!$B$2:$C$40,MATCH(X$1,[4]Weighting!$A$2:$A$10,0),MATCH(X56,[4]Weighting!$B$1:$C$1,0)),INDEX([4]Weighting!$B$2:$C$40,MATCH(Y$1,[4]Weighting!$A$2:$A$10,0),MATCH(Y56,[4]Weighting!$B$1:$C$1,0)),INDEX([4]Weighting!$B$2:$C$40,MATCH(Z$1,[4]Weighting!$A$2:$A$10,0),MATCH(Z56,[4]Weighting!$B$1:$C$1,0)),INDEX([4]Weighting!$B$2:$C$40,MATCH(AA$1,[4]Weighting!$A$2:$A$10,0),MATCH(AA56,[4]Weighting!$B$1:$C$1,0)),INDEX([4]Weighting!$B$2:$C$40,MATCH(AB$1,[4]Weighting!$A$2:$A$10,0),MATCH(AB56,[4]Weighting!$B$1:$C$1,0)),INDEX([4]Weighting!$B$2:$C$40,MATCH(AC$1,[4]Weighting!$A$2:$A$10,0),MATCH(AC56,[4]Weighting!$B$1:$C$1,0)),INDEX([4]Weighting!$B$2:$C$40,MATCH(AD$1,[4]Weighting!$A$2:$A$10,0),MATCH(AD56,[4]Weighting!$B$1:$C$1,0)),VLOOKUP(H56,'[4]List table'!$C$2:$D$5,2,0))</f>
        <v>13</v>
      </c>
      <c r="V56" s="25" t="s">
        <v>199</v>
      </c>
      <c r="W56" s="66" t="s">
        <v>199</v>
      </c>
      <c r="X56" s="66" t="s">
        <v>199</v>
      </c>
      <c r="Y56" s="25" t="s">
        <v>226</v>
      </c>
      <c r="Z56" s="25" t="s">
        <v>435</v>
      </c>
      <c r="AA56" s="25" t="s">
        <v>226</v>
      </c>
      <c r="AB56" s="25" t="s">
        <v>199</v>
      </c>
      <c r="AC56" s="25" t="s">
        <v>199</v>
      </c>
      <c r="AD56" s="25" t="s">
        <v>199</v>
      </c>
      <c r="AE56" s="25" t="s">
        <v>226</v>
      </c>
      <c r="AF56" s="25"/>
      <c r="AG56" s="53" t="s">
        <v>319</v>
      </c>
    </row>
    <row r="57" spans="1:33" s="53" customFormat="1" ht="45" x14ac:dyDescent="0.25">
      <c r="A57" s="67" t="s">
        <v>146</v>
      </c>
      <c r="B57" s="65" t="s">
        <v>147</v>
      </c>
      <c r="C57" s="43" t="s">
        <v>320</v>
      </c>
      <c r="D57" s="18" t="s">
        <v>472</v>
      </c>
      <c r="E57" s="65" t="s">
        <v>147</v>
      </c>
      <c r="F57" s="43"/>
      <c r="G57" s="25"/>
      <c r="H57" s="25"/>
      <c r="I57" s="43"/>
      <c r="J57" s="43"/>
      <c r="K57" s="34"/>
      <c r="L57" s="34"/>
      <c r="M57" s="34"/>
      <c r="N57" s="51"/>
      <c r="O57" s="51"/>
      <c r="P57" s="34"/>
      <c r="Q57" s="34"/>
      <c r="R57" s="34"/>
      <c r="S57" s="34"/>
      <c r="T57" s="43"/>
      <c r="U57" s="52"/>
      <c r="V57" s="25"/>
      <c r="W57" s="66"/>
      <c r="X57" s="66"/>
      <c r="Y57" s="25"/>
      <c r="Z57" s="25"/>
      <c r="AA57" s="25"/>
      <c r="AB57" s="25"/>
      <c r="AC57" s="25"/>
      <c r="AD57" s="25"/>
      <c r="AE57" s="25"/>
      <c r="AF57" s="25"/>
      <c r="AG57" s="27" t="s">
        <v>322</v>
      </c>
    </row>
    <row r="58" spans="1:33" ht="30" x14ac:dyDescent="0.25">
      <c r="A58" s="68" t="s">
        <v>148</v>
      </c>
      <c r="B58" s="20" t="s">
        <v>149</v>
      </c>
      <c r="C58" s="43" t="s">
        <v>323</v>
      </c>
      <c r="D58" s="73" t="s">
        <v>473</v>
      </c>
      <c r="E58" s="18" t="s">
        <v>23</v>
      </c>
      <c r="F58" s="20"/>
      <c r="G58" s="22"/>
      <c r="H58" s="22"/>
      <c r="I58" s="20"/>
      <c r="J58" s="20"/>
      <c r="K58" s="19"/>
      <c r="L58" s="19"/>
      <c r="M58" s="19"/>
      <c r="N58" s="15"/>
      <c r="O58" s="15"/>
      <c r="P58" s="19"/>
      <c r="Q58" s="19"/>
      <c r="R58" s="19"/>
      <c r="S58" s="19"/>
      <c r="T58" s="20"/>
      <c r="U58" s="21"/>
      <c r="V58" s="22"/>
      <c r="W58" s="44"/>
      <c r="X58" s="44"/>
      <c r="Y58" s="22"/>
      <c r="Z58" s="22"/>
      <c r="AA58" s="22"/>
      <c r="AB58" s="22"/>
      <c r="AC58" s="22"/>
      <c r="AD58" s="22"/>
      <c r="AE58" s="22"/>
      <c r="AF58" s="22"/>
    </row>
    <row r="59" spans="1:33" ht="45" x14ac:dyDescent="0.25">
      <c r="A59" s="68" t="s">
        <v>150</v>
      </c>
      <c r="B59" s="20" t="s">
        <v>151</v>
      </c>
      <c r="C59" s="43" t="s">
        <v>325</v>
      </c>
      <c r="D59" s="73" t="s">
        <v>474</v>
      </c>
      <c r="E59" s="18" t="s">
        <v>23</v>
      </c>
      <c r="F59" s="20"/>
      <c r="G59" s="22"/>
      <c r="H59" s="22"/>
      <c r="I59" s="20"/>
      <c r="J59" s="20"/>
      <c r="K59" s="19"/>
      <c r="L59" s="19"/>
      <c r="M59" s="19"/>
      <c r="N59" s="15"/>
      <c r="O59" s="15"/>
      <c r="P59" s="19"/>
      <c r="Q59" s="19"/>
      <c r="R59" s="19"/>
      <c r="S59" s="19"/>
      <c r="T59" s="20"/>
      <c r="U59" s="21"/>
      <c r="V59" s="22"/>
      <c r="W59" s="44"/>
      <c r="X59" s="44"/>
      <c r="Y59" s="22"/>
      <c r="Z59" s="22"/>
      <c r="AA59" s="22"/>
      <c r="AB59" s="22"/>
      <c r="AC59" s="22"/>
      <c r="AD59" s="22"/>
      <c r="AE59" s="22"/>
      <c r="AF59" s="22"/>
    </row>
    <row r="60" spans="1:33" s="53" customFormat="1" ht="60" x14ac:dyDescent="0.25">
      <c r="A60" s="67" t="s">
        <v>152</v>
      </c>
      <c r="B60" s="43" t="s">
        <v>153</v>
      </c>
      <c r="C60" s="43" t="s">
        <v>327</v>
      </c>
      <c r="D60" s="18" t="s">
        <v>475</v>
      </c>
      <c r="E60" s="25" t="s">
        <v>155</v>
      </c>
      <c r="F60" s="43"/>
      <c r="G60" s="25" t="s">
        <v>329</v>
      </c>
      <c r="H60" s="25"/>
      <c r="I60" s="43"/>
      <c r="J60" s="43"/>
      <c r="K60" s="34"/>
      <c r="L60" s="34"/>
      <c r="M60" s="34"/>
      <c r="N60" s="51"/>
      <c r="O60" s="51"/>
      <c r="P60" s="34"/>
      <c r="Q60" s="34"/>
      <c r="R60" s="34"/>
      <c r="S60" s="34"/>
      <c r="T60" s="43"/>
      <c r="U60" s="52"/>
      <c r="V60" s="25"/>
      <c r="W60" s="66"/>
      <c r="X60" s="66"/>
      <c r="Y60" s="25"/>
      <c r="Z60" s="25"/>
      <c r="AA60" s="25"/>
      <c r="AB60" s="25"/>
      <c r="AC60" s="25"/>
      <c r="AD60" s="25"/>
      <c r="AE60" s="25"/>
      <c r="AF60" s="25"/>
      <c r="AG60" s="53" t="s">
        <v>330</v>
      </c>
    </row>
    <row r="61" spans="1:33" s="53" customFormat="1" ht="30" x14ac:dyDescent="0.25">
      <c r="A61" s="67" t="s">
        <v>156</v>
      </c>
      <c r="B61" s="43" t="s">
        <v>157</v>
      </c>
      <c r="C61" s="43"/>
      <c r="D61" s="18" t="s">
        <v>476</v>
      </c>
      <c r="E61" s="25" t="s">
        <v>155</v>
      </c>
      <c r="F61" s="43"/>
      <c r="G61" s="25" t="s">
        <v>329</v>
      </c>
      <c r="H61" s="25"/>
      <c r="I61" s="43"/>
      <c r="J61" s="43"/>
      <c r="K61" s="34"/>
      <c r="L61" s="34"/>
      <c r="M61" s="34"/>
      <c r="N61" s="51"/>
      <c r="O61" s="51"/>
      <c r="P61" s="34"/>
      <c r="Q61" s="34"/>
      <c r="R61" s="34"/>
      <c r="S61" s="34"/>
      <c r="T61" s="43"/>
      <c r="U61" s="52"/>
      <c r="V61" s="25"/>
      <c r="W61" s="66"/>
      <c r="X61" s="66"/>
      <c r="Y61" s="25"/>
      <c r="Z61" s="25"/>
      <c r="AA61" s="25"/>
      <c r="AB61" s="25"/>
      <c r="AC61" s="25"/>
      <c r="AD61" s="25"/>
      <c r="AE61" s="25"/>
      <c r="AF61" s="25"/>
      <c r="AG61" s="53" t="s">
        <v>332</v>
      </c>
    </row>
    <row r="62" spans="1:33" s="53" customFormat="1" ht="30" x14ac:dyDescent="0.25">
      <c r="A62" s="67" t="s">
        <v>158</v>
      </c>
      <c r="B62" s="43" t="s">
        <v>159</v>
      </c>
      <c r="C62" s="43"/>
      <c r="D62" s="18" t="s">
        <v>477</v>
      </c>
      <c r="E62" s="25" t="s">
        <v>155</v>
      </c>
      <c r="F62" s="43"/>
      <c r="G62" s="25" t="s">
        <v>329</v>
      </c>
      <c r="H62" s="25"/>
      <c r="I62" s="43"/>
      <c r="J62" s="43"/>
      <c r="K62" s="34"/>
      <c r="L62" s="34"/>
      <c r="M62" s="34"/>
      <c r="N62" s="51"/>
      <c r="O62" s="51"/>
      <c r="P62" s="34"/>
      <c r="Q62" s="34"/>
      <c r="R62" s="34"/>
      <c r="S62" s="34"/>
      <c r="T62" s="43"/>
      <c r="U62" s="52"/>
      <c r="V62" s="25"/>
      <c r="W62" s="66"/>
      <c r="X62" s="66"/>
      <c r="Y62" s="25"/>
      <c r="Z62" s="25"/>
      <c r="AA62" s="25"/>
      <c r="AB62" s="25"/>
      <c r="AC62" s="25"/>
      <c r="AD62" s="25"/>
      <c r="AE62" s="25"/>
      <c r="AF62" s="25"/>
      <c r="AG62" s="53" t="s">
        <v>334</v>
      </c>
    </row>
    <row r="63" spans="1:33" s="53" customFormat="1" ht="90" x14ac:dyDescent="0.25">
      <c r="A63" s="67" t="s">
        <v>160</v>
      </c>
      <c r="B63" s="43" t="s">
        <v>161</v>
      </c>
      <c r="C63" s="43" t="s">
        <v>335</v>
      </c>
      <c r="D63" s="18" t="s">
        <v>475</v>
      </c>
      <c r="E63" s="25" t="s">
        <v>155</v>
      </c>
      <c r="F63" s="43"/>
      <c r="G63" s="25" t="s">
        <v>329</v>
      </c>
      <c r="H63" s="25"/>
      <c r="I63" s="43"/>
      <c r="J63" s="43"/>
      <c r="K63" s="34"/>
      <c r="L63" s="34"/>
      <c r="M63" s="34"/>
      <c r="N63" s="51"/>
      <c r="O63" s="51"/>
      <c r="P63" s="34"/>
      <c r="Q63" s="34"/>
      <c r="R63" s="34"/>
      <c r="S63" s="34"/>
      <c r="T63" s="43"/>
      <c r="U63" s="52"/>
      <c r="V63" s="25"/>
      <c r="W63" s="66"/>
      <c r="X63" s="66"/>
      <c r="Y63" s="25"/>
      <c r="Z63" s="25"/>
      <c r="AA63" s="25"/>
      <c r="AB63" s="25"/>
      <c r="AC63" s="25"/>
      <c r="AD63" s="25"/>
      <c r="AE63" s="25"/>
      <c r="AF63" s="25"/>
      <c r="AG63" s="53" t="s">
        <v>336</v>
      </c>
    </row>
    <row r="64" spans="1:33" s="53" customFormat="1" ht="45" x14ac:dyDescent="0.25">
      <c r="A64" s="67" t="s">
        <v>162</v>
      </c>
      <c r="B64" s="43" t="s">
        <v>163</v>
      </c>
      <c r="C64" s="43" t="s">
        <v>337</v>
      </c>
      <c r="D64" s="18" t="s">
        <v>478</v>
      </c>
      <c r="E64" s="25" t="s">
        <v>145</v>
      </c>
      <c r="F64" s="43"/>
      <c r="G64" s="25"/>
      <c r="H64" s="25"/>
      <c r="I64" s="43"/>
      <c r="J64" s="43"/>
      <c r="K64" s="34"/>
      <c r="L64" s="34"/>
      <c r="M64" s="34"/>
      <c r="N64" s="51"/>
      <c r="O64" s="51"/>
      <c r="P64" s="34"/>
      <c r="Q64" s="34"/>
      <c r="R64" s="34"/>
      <c r="S64" s="34"/>
      <c r="T64" s="43"/>
      <c r="U64" s="52"/>
      <c r="V64" s="25"/>
      <c r="W64" s="66"/>
      <c r="X64" s="66"/>
      <c r="Y64" s="25"/>
      <c r="Z64" s="25"/>
      <c r="AA64" s="25"/>
      <c r="AB64" s="25"/>
      <c r="AC64" s="25"/>
      <c r="AD64" s="25"/>
      <c r="AE64" s="25"/>
      <c r="AF64" s="25"/>
    </row>
    <row r="65" spans="1:33" s="53" customFormat="1" ht="30" x14ac:dyDescent="0.25">
      <c r="A65" s="67" t="s">
        <v>164</v>
      </c>
      <c r="B65" s="43" t="s">
        <v>165</v>
      </c>
      <c r="C65" s="43" t="s">
        <v>339</v>
      </c>
      <c r="D65" s="18" t="s">
        <v>479</v>
      </c>
      <c r="E65" s="25" t="s">
        <v>145</v>
      </c>
      <c r="F65" s="43"/>
      <c r="G65" s="25"/>
      <c r="H65" s="25"/>
      <c r="I65" s="43"/>
      <c r="J65" s="43"/>
      <c r="K65" s="34"/>
      <c r="L65" s="34"/>
      <c r="M65" s="34"/>
      <c r="N65" s="51"/>
      <c r="O65" s="51"/>
      <c r="P65" s="34"/>
      <c r="Q65" s="34"/>
      <c r="R65" s="34"/>
      <c r="S65" s="34"/>
      <c r="T65" s="43"/>
      <c r="U65" s="52"/>
      <c r="V65" s="25"/>
      <c r="W65" s="66"/>
      <c r="X65" s="66"/>
      <c r="Y65" s="25"/>
      <c r="Z65" s="25"/>
      <c r="AA65" s="25"/>
      <c r="AB65" s="25"/>
      <c r="AC65" s="25"/>
      <c r="AD65" s="25"/>
      <c r="AE65" s="25"/>
      <c r="AF65" s="25"/>
    </row>
    <row r="66" spans="1:33" s="53" customFormat="1" ht="30" x14ac:dyDescent="0.25">
      <c r="A66" s="67" t="s">
        <v>166</v>
      </c>
      <c r="B66" s="43" t="s">
        <v>167</v>
      </c>
      <c r="C66" s="43" t="s">
        <v>341</v>
      </c>
      <c r="D66" s="18" t="s">
        <v>480</v>
      </c>
      <c r="E66" s="25" t="s">
        <v>168</v>
      </c>
      <c r="F66" s="43"/>
      <c r="G66" s="25"/>
      <c r="H66" s="25"/>
      <c r="I66" s="43"/>
      <c r="J66" s="43"/>
      <c r="K66" s="34"/>
      <c r="L66" s="34"/>
      <c r="M66" s="34"/>
      <c r="N66" s="51"/>
      <c r="O66" s="51"/>
      <c r="P66" s="34"/>
      <c r="Q66" s="34"/>
      <c r="R66" s="34"/>
      <c r="S66" s="34"/>
      <c r="T66" s="43"/>
      <c r="U66" s="52"/>
      <c r="V66" s="25"/>
      <c r="W66" s="66"/>
      <c r="X66" s="66"/>
      <c r="Y66" s="25"/>
      <c r="Z66" s="25"/>
      <c r="AA66" s="25"/>
      <c r="AB66" s="25"/>
      <c r="AC66" s="25"/>
      <c r="AD66" s="25"/>
      <c r="AE66" s="25"/>
      <c r="AF66" s="25"/>
      <c r="AG66" s="53" t="s">
        <v>343</v>
      </c>
    </row>
    <row r="67" spans="1:33" s="53" customFormat="1" ht="69.75" customHeight="1" x14ac:dyDescent="0.25">
      <c r="A67" s="67" t="s">
        <v>169</v>
      </c>
      <c r="B67" s="43" t="s">
        <v>170</v>
      </c>
      <c r="C67" s="43" t="s">
        <v>344</v>
      </c>
      <c r="D67" s="18" t="s">
        <v>481</v>
      </c>
      <c r="E67" s="25" t="s">
        <v>171</v>
      </c>
      <c r="F67" s="43"/>
      <c r="G67" s="25" t="s">
        <v>346</v>
      </c>
      <c r="H67" s="25"/>
      <c r="I67" s="43"/>
      <c r="J67" s="43"/>
      <c r="K67" s="34"/>
      <c r="L67" s="34"/>
      <c r="M67" s="34"/>
      <c r="N67" s="51"/>
      <c r="O67" s="51"/>
      <c r="P67" s="34"/>
      <c r="Q67" s="34"/>
      <c r="R67" s="34"/>
      <c r="S67" s="34"/>
      <c r="T67" s="43"/>
      <c r="U67" s="52"/>
      <c r="V67" s="25"/>
      <c r="W67" s="66"/>
      <c r="X67" s="66"/>
      <c r="Y67" s="25"/>
      <c r="Z67" s="25"/>
      <c r="AA67" s="25"/>
      <c r="AB67" s="25"/>
      <c r="AC67" s="25"/>
      <c r="AD67" s="25"/>
      <c r="AE67" s="25"/>
      <c r="AF67" s="25"/>
      <c r="AG67" s="27" t="s">
        <v>347</v>
      </c>
    </row>
    <row r="68" spans="1:33" s="53" customFormat="1" ht="40.9" customHeight="1" x14ac:dyDescent="0.25">
      <c r="A68" s="51" t="s">
        <v>172</v>
      </c>
      <c r="B68" s="43" t="s">
        <v>97</v>
      </c>
      <c r="C68" s="43" t="s">
        <v>267</v>
      </c>
      <c r="D68" s="30" t="s">
        <v>452</v>
      </c>
      <c r="E68" s="43" t="s">
        <v>95</v>
      </c>
      <c r="F68" s="43" t="s">
        <v>390</v>
      </c>
      <c r="G68" s="17"/>
      <c r="H68" s="20" t="s">
        <v>224</v>
      </c>
      <c r="I68" s="43" t="s">
        <v>226</v>
      </c>
      <c r="J68" s="43" t="s">
        <v>97</v>
      </c>
      <c r="K68" s="51"/>
      <c r="L68" s="51"/>
      <c r="M68" s="51"/>
      <c r="N68" s="51" t="s">
        <v>199</v>
      </c>
      <c r="O68" s="51" t="s">
        <v>199</v>
      </c>
      <c r="P68" s="51"/>
      <c r="Q68" s="51"/>
      <c r="R68" s="51"/>
      <c r="S68" s="34" t="str">
        <f t="shared" ref="S68" si="1">IF(COUNTIF(K68:N68,"Yes")&gt;0,IF(COUNTIF(O68:R68,"Yes")&gt;0,"Yes","No"),"No")</f>
        <v>Yes</v>
      </c>
      <c r="T68" s="43"/>
      <c r="U68" s="52">
        <f>SUM(INDEX([4]Weighting!$B$2:$C$40,MATCH(V$1,[4]Weighting!$A$2:$A$10,0),MATCH(V68,[4]Weighting!$B$1:$C$1,0)),INDEX([4]Weighting!$B$2:$C$40,MATCH(W$1,[4]Weighting!$A$2:$A$10,0),MATCH(W68,[4]Weighting!$B$1:$C$1,0)),INDEX([4]Weighting!$B$2:$C$40,MATCH(X$1,[4]Weighting!$A$2:$A$10,0),MATCH(X68,[4]Weighting!$B$1:$C$1,0)),INDEX([4]Weighting!$B$2:$C$40,MATCH(Y$1,[4]Weighting!$A$2:$A$10,0),MATCH(Y68,[4]Weighting!$B$1:$C$1,0)),INDEX([4]Weighting!$B$2:$C$40,MATCH(Z$1,[4]Weighting!$A$2:$A$10,0),MATCH(Z68,[4]Weighting!$B$1:$C$1,0)),INDEX([4]Weighting!$B$2:$C$40,MATCH(AA$1,[4]Weighting!$A$2:$A$10,0),MATCH(AA68,[4]Weighting!$B$1:$C$1,0)),INDEX([4]Weighting!$B$2:$C$40,MATCH(AB$1,[4]Weighting!$A$2:$A$10,0),MATCH(AB68,[4]Weighting!$B$1:$C$1,0)),INDEX([4]Weighting!$B$2:$C$40,MATCH(AC$1,[4]Weighting!$A$2:$A$10,0),MATCH(AC68,[4]Weighting!$B$1:$C$1,0)),INDEX([4]Weighting!$B$2:$C$40,MATCH(AD$1,[4]Weighting!$A$2:$A$10,0),MATCH(AD68,[4]Weighting!$B$1:$C$1,0)),VLOOKUP(H68,'[4]List table'!$C$2:$D$5,2,0))</f>
        <v>8</v>
      </c>
      <c r="V68" s="25" t="s">
        <v>199</v>
      </c>
      <c r="W68" s="25" t="s">
        <v>226</v>
      </c>
      <c r="X68" s="25" t="s">
        <v>226</v>
      </c>
      <c r="Y68" s="25" t="s">
        <v>226</v>
      </c>
      <c r="Z68" s="25" t="s">
        <v>226</v>
      </c>
      <c r="AA68" s="25" t="s">
        <v>226</v>
      </c>
      <c r="AB68" s="25" t="s">
        <v>226</v>
      </c>
      <c r="AC68" s="25" t="s">
        <v>226</v>
      </c>
      <c r="AD68" s="25" t="s">
        <v>199</v>
      </c>
      <c r="AE68" s="25" t="s">
        <v>226</v>
      </c>
      <c r="AF68" s="25"/>
      <c r="AG68" s="53" t="s">
        <v>348</v>
      </c>
    </row>
    <row r="69" spans="1:33" s="53" customFormat="1" ht="30" x14ac:dyDescent="0.25">
      <c r="A69" s="67" t="s">
        <v>173</v>
      </c>
      <c r="B69" s="43" t="s">
        <v>174</v>
      </c>
      <c r="C69" s="43" t="s">
        <v>349</v>
      </c>
      <c r="D69" s="30" t="s">
        <v>482</v>
      </c>
      <c r="E69" s="25" t="s">
        <v>95</v>
      </c>
      <c r="F69" s="43"/>
      <c r="G69" s="25" t="s">
        <v>351</v>
      </c>
      <c r="H69" s="25"/>
      <c r="I69" s="43"/>
      <c r="J69" s="43"/>
      <c r="K69" s="34"/>
      <c r="L69" s="34"/>
      <c r="M69" s="34"/>
      <c r="N69" s="51"/>
      <c r="O69" s="51"/>
      <c r="P69" s="34"/>
      <c r="Q69" s="34"/>
      <c r="R69" s="34"/>
      <c r="S69" s="34"/>
      <c r="T69" s="43"/>
      <c r="U69" s="52"/>
      <c r="V69" s="25"/>
      <c r="W69" s="66"/>
      <c r="X69" s="66"/>
      <c r="Y69" s="25"/>
      <c r="Z69" s="25"/>
      <c r="AA69" s="25"/>
      <c r="AB69" s="25"/>
      <c r="AC69" s="25"/>
      <c r="AD69" s="25"/>
      <c r="AE69" s="25"/>
      <c r="AF69" s="25"/>
      <c r="AG69" s="27" t="s">
        <v>352</v>
      </c>
    </row>
    <row r="70" spans="1:33" s="53" customFormat="1" ht="30" x14ac:dyDescent="0.25">
      <c r="A70" s="67" t="s">
        <v>175</v>
      </c>
      <c r="B70" s="43" t="s">
        <v>176</v>
      </c>
      <c r="C70" s="43" t="s">
        <v>353</v>
      </c>
      <c r="D70" s="30" t="s">
        <v>483</v>
      </c>
      <c r="E70" s="25" t="s">
        <v>95</v>
      </c>
      <c r="F70" s="43"/>
      <c r="G70" s="25"/>
      <c r="H70" s="25"/>
      <c r="I70" s="43"/>
      <c r="J70" s="43"/>
      <c r="K70" s="34"/>
      <c r="L70" s="34"/>
      <c r="M70" s="34"/>
      <c r="N70" s="51"/>
      <c r="O70" s="51"/>
      <c r="P70" s="34"/>
      <c r="Q70" s="34"/>
      <c r="R70" s="34"/>
      <c r="S70" s="34"/>
      <c r="T70" s="43"/>
      <c r="U70" s="52"/>
      <c r="V70" s="25"/>
      <c r="W70" s="66"/>
      <c r="X70" s="66"/>
      <c r="Y70" s="25"/>
      <c r="Z70" s="25"/>
      <c r="AA70" s="25"/>
      <c r="AB70" s="25"/>
      <c r="AC70" s="25"/>
      <c r="AD70" s="25"/>
      <c r="AE70" s="25"/>
      <c r="AF70" s="25"/>
      <c r="AG70" s="53" t="s">
        <v>355</v>
      </c>
    </row>
    <row r="71" spans="1:33" s="53" customFormat="1" ht="30" x14ac:dyDescent="0.25">
      <c r="A71" s="67" t="s">
        <v>177</v>
      </c>
      <c r="B71" s="43" t="s">
        <v>178</v>
      </c>
      <c r="C71" s="43" t="s">
        <v>178</v>
      </c>
      <c r="D71" s="30" t="s">
        <v>483</v>
      </c>
      <c r="E71" s="25" t="s">
        <v>95</v>
      </c>
      <c r="F71" s="43"/>
      <c r="G71" s="25"/>
      <c r="H71" s="25"/>
      <c r="I71" s="43"/>
      <c r="J71" s="43"/>
      <c r="K71" s="34"/>
      <c r="L71" s="34"/>
      <c r="M71" s="34"/>
      <c r="N71" s="51"/>
      <c r="O71" s="51"/>
      <c r="P71" s="34"/>
      <c r="Q71" s="34"/>
      <c r="R71" s="34"/>
      <c r="S71" s="34"/>
      <c r="T71" s="43"/>
      <c r="U71" s="52"/>
      <c r="V71" s="25"/>
      <c r="W71" s="66"/>
      <c r="X71" s="66"/>
      <c r="Y71" s="25"/>
      <c r="Z71" s="25"/>
      <c r="AA71" s="25"/>
      <c r="AB71" s="25"/>
      <c r="AC71" s="25"/>
      <c r="AD71" s="25"/>
      <c r="AE71" s="25"/>
      <c r="AF71" s="25"/>
      <c r="AG71" s="53" t="s">
        <v>356</v>
      </c>
    </row>
    <row r="72" spans="1:33" s="53" customFormat="1" ht="45" x14ac:dyDescent="0.25">
      <c r="A72" s="67" t="s">
        <v>179</v>
      </c>
      <c r="B72" s="43" t="s">
        <v>180</v>
      </c>
      <c r="C72" s="43" t="s">
        <v>357</v>
      </c>
      <c r="D72" s="18" t="s">
        <v>484</v>
      </c>
      <c r="E72" s="25" t="s">
        <v>95</v>
      </c>
      <c r="F72" s="43"/>
      <c r="G72" s="25" t="s">
        <v>359</v>
      </c>
      <c r="H72" s="25"/>
      <c r="I72" s="43"/>
      <c r="J72" s="43"/>
      <c r="K72" s="34"/>
      <c r="L72" s="34"/>
      <c r="M72" s="34"/>
      <c r="N72" s="51"/>
      <c r="O72" s="51"/>
      <c r="P72" s="34"/>
      <c r="Q72" s="34"/>
      <c r="R72" s="34"/>
      <c r="S72" s="34"/>
      <c r="T72" s="43"/>
      <c r="U72" s="52"/>
      <c r="V72" s="25"/>
      <c r="W72" s="66"/>
      <c r="X72" s="66"/>
      <c r="Y72" s="25"/>
      <c r="Z72" s="25"/>
      <c r="AA72" s="25"/>
      <c r="AB72" s="25"/>
      <c r="AC72" s="25"/>
      <c r="AD72" s="25"/>
      <c r="AE72" s="25"/>
      <c r="AF72" s="25"/>
      <c r="AG72" s="53" t="s">
        <v>360</v>
      </c>
    </row>
    <row r="73" spans="1:33" s="53" customFormat="1" ht="75" x14ac:dyDescent="0.25">
      <c r="A73" s="67" t="s">
        <v>181</v>
      </c>
      <c r="B73" s="43" t="s">
        <v>182</v>
      </c>
      <c r="C73" s="43" t="s">
        <v>361</v>
      </c>
      <c r="D73" s="18" t="s">
        <v>485</v>
      </c>
      <c r="E73" s="25" t="s">
        <v>38</v>
      </c>
      <c r="F73" s="43"/>
      <c r="G73" s="25" t="s">
        <v>363</v>
      </c>
      <c r="H73" s="25"/>
      <c r="I73" s="43"/>
      <c r="J73" s="43"/>
      <c r="K73" s="34"/>
      <c r="L73" s="34"/>
      <c r="M73" s="34"/>
      <c r="N73" s="51"/>
      <c r="O73" s="51"/>
      <c r="P73" s="34"/>
      <c r="Q73" s="34"/>
      <c r="R73" s="34"/>
      <c r="S73" s="34"/>
      <c r="T73" s="43"/>
      <c r="U73" s="52"/>
      <c r="V73" s="25"/>
      <c r="W73" s="66"/>
      <c r="X73" s="66"/>
      <c r="Y73" s="25"/>
      <c r="Z73" s="25"/>
      <c r="AA73" s="25"/>
      <c r="AB73" s="25"/>
      <c r="AC73" s="25"/>
      <c r="AD73" s="25"/>
      <c r="AE73" s="25"/>
      <c r="AF73" s="25"/>
      <c r="AG73" s="27" t="s">
        <v>364</v>
      </c>
    </row>
    <row r="74" spans="1:33" x14ac:dyDescent="0.25">
      <c r="A74" s="68" t="s">
        <v>391</v>
      </c>
      <c r="B74" s="20"/>
      <c r="C74" s="20"/>
      <c r="D74" s="73"/>
      <c r="E74" s="22"/>
      <c r="F74" s="20"/>
      <c r="G74" s="22"/>
      <c r="H74" s="22"/>
      <c r="I74" s="20"/>
      <c r="J74" s="20"/>
      <c r="K74" s="19"/>
      <c r="L74" s="19"/>
      <c r="M74" s="19"/>
      <c r="N74" s="15"/>
      <c r="O74" s="15"/>
      <c r="P74" s="19"/>
      <c r="Q74" s="19"/>
      <c r="R74" s="19"/>
      <c r="S74" s="19"/>
      <c r="T74" s="20"/>
      <c r="U74" s="21"/>
      <c r="V74" s="22"/>
      <c r="W74" s="44"/>
      <c r="X74" s="44"/>
      <c r="Y74" s="22"/>
      <c r="Z74" s="22"/>
      <c r="AA74" s="22"/>
      <c r="AB74" s="22"/>
      <c r="AC74" s="22"/>
      <c r="AD74" s="22"/>
      <c r="AE74" s="22"/>
      <c r="AF74" s="22"/>
    </row>
    <row r="75" spans="1:33" x14ac:dyDescent="0.25">
      <c r="A75" s="68" t="s">
        <v>392</v>
      </c>
      <c r="B75" s="20"/>
      <c r="C75" s="20"/>
      <c r="D75" s="73"/>
      <c r="E75" s="22"/>
      <c r="F75" s="20"/>
      <c r="G75" s="22"/>
      <c r="H75" s="22"/>
      <c r="I75" s="20"/>
      <c r="J75" s="20"/>
      <c r="K75" s="19"/>
      <c r="L75" s="19"/>
      <c r="M75" s="19"/>
      <c r="N75" s="15"/>
      <c r="O75" s="15"/>
      <c r="P75" s="19"/>
      <c r="Q75" s="19"/>
      <c r="R75" s="19"/>
      <c r="S75" s="19"/>
      <c r="T75" s="20"/>
      <c r="U75" s="21"/>
      <c r="V75" s="22"/>
      <c r="W75" s="44"/>
      <c r="X75" s="44"/>
      <c r="Y75" s="22"/>
      <c r="Z75" s="22"/>
      <c r="AA75" s="22"/>
      <c r="AB75" s="22"/>
      <c r="AC75" s="22"/>
      <c r="AD75" s="22"/>
      <c r="AE75" s="22"/>
      <c r="AF75" s="22"/>
    </row>
    <row r="76" spans="1:33" x14ac:dyDescent="0.25">
      <c r="A76" s="68" t="s">
        <v>393</v>
      </c>
      <c r="B76" s="20"/>
      <c r="C76" s="20"/>
      <c r="D76" s="73"/>
      <c r="E76" s="22"/>
      <c r="F76" s="20"/>
      <c r="G76" s="22"/>
      <c r="H76" s="22"/>
      <c r="I76" s="20"/>
      <c r="J76" s="20"/>
      <c r="K76" s="19"/>
      <c r="L76" s="19"/>
      <c r="M76" s="19"/>
      <c r="N76" s="15"/>
      <c r="O76" s="15"/>
      <c r="P76" s="19"/>
      <c r="Q76" s="19"/>
      <c r="R76" s="19"/>
      <c r="S76" s="19"/>
      <c r="T76" s="20"/>
      <c r="U76" s="21"/>
      <c r="V76" s="22"/>
      <c r="W76" s="44"/>
      <c r="X76" s="44"/>
      <c r="Y76" s="22"/>
      <c r="Z76" s="22"/>
      <c r="AA76" s="22"/>
      <c r="AB76" s="22"/>
      <c r="AC76" s="22"/>
      <c r="AD76" s="22"/>
      <c r="AE76" s="22"/>
      <c r="AF76" s="22"/>
    </row>
    <row r="77" spans="1:33" x14ac:dyDescent="0.25">
      <c r="A77" s="68" t="s">
        <v>394</v>
      </c>
      <c r="B77" s="20"/>
      <c r="C77" s="20"/>
      <c r="D77" s="73"/>
      <c r="E77" s="22"/>
      <c r="F77" s="20"/>
      <c r="G77" s="22"/>
      <c r="H77" s="22"/>
      <c r="I77" s="20"/>
      <c r="J77" s="20"/>
      <c r="K77" s="19"/>
      <c r="L77" s="19"/>
      <c r="M77" s="19"/>
      <c r="N77" s="15"/>
      <c r="O77" s="15"/>
      <c r="P77" s="19"/>
      <c r="Q77" s="19"/>
      <c r="R77" s="19"/>
      <c r="S77" s="19"/>
      <c r="T77" s="20"/>
      <c r="U77" s="21"/>
      <c r="V77" s="22"/>
      <c r="W77" s="44"/>
      <c r="X77" s="44"/>
      <c r="Y77" s="22"/>
      <c r="Z77" s="22"/>
      <c r="AA77" s="22"/>
      <c r="AB77" s="22"/>
      <c r="AC77" s="22"/>
      <c r="AD77" s="22"/>
      <c r="AE77" s="22"/>
      <c r="AF77" s="22"/>
    </row>
    <row r="78" spans="1:33" x14ac:dyDescent="0.25">
      <c r="A78" s="68" t="s">
        <v>395</v>
      </c>
      <c r="B78" s="20"/>
      <c r="C78" s="20"/>
      <c r="D78" s="73"/>
      <c r="E78" s="22"/>
      <c r="F78" s="20"/>
      <c r="G78" s="22"/>
      <c r="H78" s="22"/>
      <c r="I78" s="20"/>
      <c r="J78" s="20"/>
      <c r="K78" s="19"/>
      <c r="L78" s="19"/>
      <c r="M78" s="19"/>
      <c r="N78" s="15"/>
      <c r="O78" s="15"/>
      <c r="P78" s="19"/>
      <c r="Q78" s="19"/>
      <c r="R78" s="19"/>
      <c r="S78" s="19"/>
      <c r="T78" s="20"/>
      <c r="U78" s="21"/>
      <c r="V78" s="22"/>
      <c r="W78" s="44"/>
      <c r="X78" s="44"/>
      <c r="Y78" s="22"/>
      <c r="Z78" s="22"/>
      <c r="AA78" s="22"/>
      <c r="AB78" s="22"/>
      <c r="AC78" s="22"/>
      <c r="AD78" s="22"/>
      <c r="AE78" s="22"/>
      <c r="AF78" s="22"/>
    </row>
    <row r="79" spans="1:33" x14ac:dyDescent="0.25">
      <c r="A79" s="68" t="s">
        <v>396</v>
      </c>
      <c r="B79" s="20"/>
      <c r="C79" s="20"/>
      <c r="D79" s="73"/>
      <c r="E79" s="22"/>
      <c r="F79" s="20"/>
      <c r="G79" s="22"/>
      <c r="H79" s="22"/>
      <c r="I79" s="20"/>
      <c r="J79" s="20"/>
      <c r="K79" s="19"/>
      <c r="L79" s="19"/>
      <c r="M79" s="19"/>
      <c r="N79" s="15"/>
      <c r="O79" s="15"/>
      <c r="P79" s="19"/>
      <c r="Q79" s="19"/>
      <c r="R79" s="19"/>
      <c r="S79" s="19"/>
      <c r="T79" s="20"/>
      <c r="U79" s="21"/>
      <c r="V79" s="22"/>
      <c r="W79" s="44"/>
      <c r="X79" s="44"/>
      <c r="Y79" s="22"/>
      <c r="Z79" s="22"/>
      <c r="AA79" s="22"/>
      <c r="AB79" s="22"/>
      <c r="AC79" s="22"/>
      <c r="AD79" s="22"/>
      <c r="AE79" s="22"/>
      <c r="AF79" s="22"/>
    </row>
    <row r="80" spans="1:33" x14ac:dyDescent="0.25">
      <c r="A80" s="68" t="s">
        <v>397</v>
      </c>
      <c r="B80" s="20"/>
      <c r="C80" s="20"/>
      <c r="D80" s="73"/>
      <c r="E80" s="22"/>
      <c r="F80" s="20"/>
      <c r="G80" s="22"/>
      <c r="H80" s="22"/>
      <c r="I80" s="20"/>
      <c r="J80" s="20"/>
      <c r="K80" s="19"/>
      <c r="L80" s="19"/>
      <c r="M80" s="19"/>
      <c r="N80" s="15"/>
      <c r="O80" s="15"/>
      <c r="P80" s="19"/>
      <c r="Q80" s="19"/>
      <c r="R80" s="19"/>
      <c r="S80" s="19"/>
      <c r="T80" s="20"/>
      <c r="U80" s="21"/>
      <c r="V80" s="22"/>
      <c r="W80" s="44"/>
      <c r="X80" s="44"/>
      <c r="Y80" s="22"/>
      <c r="Z80" s="22"/>
      <c r="AA80" s="22"/>
      <c r="AB80" s="22"/>
      <c r="AC80" s="22"/>
      <c r="AD80" s="22"/>
      <c r="AE80" s="22"/>
      <c r="AF80" s="22"/>
    </row>
    <row r="81" spans="1:32" x14ac:dyDescent="0.25">
      <c r="A81" s="68" t="s">
        <v>398</v>
      </c>
      <c r="B81" s="20"/>
      <c r="C81" s="20"/>
      <c r="D81" s="73"/>
      <c r="E81" s="22"/>
      <c r="F81" s="20"/>
      <c r="G81" s="22"/>
      <c r="H81" s="22"/>
      <c r="I81" s="20"/>
      <c r="J81" s="20"/>
      <c r="K81" s="19"/>
      <c r="L81" s="19"/>
      <c r="M81" s="19"/>
      <c r="N81" s="15"/>
      <c r="O81" s="15"/>
      <c r="P81" s="19"/>
      <c r="Q81" s="19"/>
      <c r="R81" s="19"/>
      <c r="S81" s="19"/>
      <c r="T81" s="20"/>
      <c r="U81" s="21"/>
      <c r="V81" s="22"/>
      <c r="W81" s="44"/>
      <c r="X81" s="44"/>
      <c r="Y81" s="22"/>
      <c r="Z81" s="22"/>
      <c r="AA81" s="22"/>
      <c r="AB81" s="22"/>
      <c r="AC81" s="22"/>
      <c r="AD81" s="22"/>
      <c r="AE81" s="22"/>
      <c r="AF81" s="22"/>
    </row>
    <row r="106" spans="2:2" x14ac:dyDescent="0.25">
      <c r="B106" s="53" t="s">
        <v>399</v>
      </c>
    </row>
  </sheetData>
  <autoFilter ref="A2:AF81" xr:uid="{C06CFCA2-B0B7-4BF2-A0F9-C7DE4CE399FA}"/>
  <mergeCells count="14">
    <mergeCell ref="AD1:AD2"/>
    <mergeCell ref="AE1:AF1"/>
    <mergeCell ref="X1:X2"/>
    <mergeCell ref="Y1:Y2"/>
    <mergeCell ref="Z1:Z2"/>
    <mergeCell ref="AA1:AA2"/>
    <mergeCell ref="AB1:AB2"/>
    <mergeCell ref="AC1:AC2"/>
    <mergeCell ref="W1:W2"/>
    <mergeCell ref="K1:N1"/>
    <mergeCell ref="O1:R1"/>
    <mergeCell ref="S1:T1"/>
    <mergeCell ref="U1:U2"/>
    <mergeCell ref="V1:V2"/>
  </mergeCells>
  <pageMargins left="0.7" right="0.7" top="0.75" bottom="0.75" header="0.3" footer="0.3"/>
  <pageSetup orientation="portrait" r:id="rId1"/>
  <headerFooter>
    <oddFooter>&amp;L&amp;1#&amp;"Calibri"&amp;10&amp;K000000Internal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df8152d-ea04-4478-99ca-78dd687524e6">
      <Terms xmlns="http://schemas.microsoft.com/office/infopath/2007/PartnerControls"/>
    </lcf76f155ced4ddcb4097134ff3c332f>
    <TaxCatchAll xmlns="0d29d4c7-8419-469b-8e34-546b0355269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682973777D4254291CF76CEE6A60C3D" ma:contentTypeVersion="11" ma:contentTypeDescription="Create a new document." ma:contentTypeScope="" ma:versionID="985bcafed84a9fe716005d9f9ee563bf">
  <xsd:schema xmlns:xsd="http://www.w3.org/2001/XMLSchema" xmlns:xs="http://www.w3.org/2001/XMLSchema" xmlns:p="http://schemas.microsoft.com/office/2006/metadata/properties" xmlns:ns2="9df8152d-ea04-4478-99ca-78dd687524e6" xmlns:ns3="0d29d4c7-8419-469b-8e34-546b0355269a" targetNamespace="http://schemas.microsoft.com/office/2006/metadata/properties" ma:root="true" ma:fieldsID="81f69289d0d106e09261eeedf6257639" ns2:_="" ns3:_="">
    <xsd:import namespace="9df8152d-ea04-4478-99ca-78dd687524e6"/>
    <xsd:import namespace="0d29d4c7-8419-469b-8e34-546b0355269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f8152d-ea04-4478-99ca-78dd68752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dc896b1-a773-47ee-9c00-bdef5aea9ec8"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d29d4c7-8419-469b-8e34-546b0355269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dc23dd6-2f23-4fa8-8c82-3957e309ca1e}" ma:internalName="TaxCatchAll" ma:showField="CatchAllData" ma:web="0d29d4c7-8419-469b-8e34-546b0355269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787E458-140D-40AF-8222-D50F496588E3}">
  <ds:schemaRefs>
    <ds:schemaRef ds:uri="http://schemas.microsoft.com/sharepoint/v3/contenttype/forms"/>
  </ds:schemaRefs>
</ds:datastoreItem>
</file>

<file path=customXml/itemProps2.xml><?xml version="1.0" encoding="utf-8"?>
<ds:datastoreItem xmlns:ds="http://schemas.openxmlformats.org/officeDocument/2006/customXml" ds:itemID="{435D4C73-E4CE-46B9-BAB7-4C0C9C9DE4A1}">
  <ds:schemaRefs>
    <ds:schemaRef ds:uri="http://schemas.microsoft.com/office/2006/metadata/properties"/>
    <ds:schemaRef ds:uri="http://www.w3.org/2000/xmlns/"/>
    <ds:schemaRef ds:uri="9df8152d-ea04-4478-99ca-78dd687524e6"/>
    <ds:schemaRef ds:uri="http://schemas.microsoft.com/office/infopath/2007/PartnerControls"/>
    <ds:schemaRef ds:uri="0d29d4c7-8419-469b-8e34-546b0355269a"/>
    <ds:schemaRef ds:uri="http://www.w3.org/2001/XMLSchema-instance"/>
  </ds:schemaRefs>
</ds:datastoreItem>
</file>

<file path=customXml/itemProps3.xml><?xml version="1.0" encoding="utf-8"?>
<ds:datastoreItem xmlns:ds="http://schemas.openxmlformats.org/officeDocument/2006/customXml" ds:itemID="{78704B63-4CC3-4DBC-9D34-529EAD107A02}">
  <ds:schemaRefs>
    <ds:schemaRef ds:uri="http://schemas.microsoft.com/office/2006/metadata/contentType"/>
    <ds:schemaRef ds:uri="http://schemas.microsoft.com/office/2006/metadata/properties/metaAttributes"/>
    <ds:schemaRef ds:uri="http://www.w3.org/2000/xmlns/"/>
    <ds:schemaRef ds:uri="http://www.w3.org/2001/XMLSchema"/>
    <ds:schemaRef ds:uri="9df8152d-ea04-4478-99ca-78dd687524e6"/>
    <ds:schemaRef ds:uri="0d29d4c7-8419-469b-8e34-546b0355269a"/>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Michael Broadberry</vt:lpstr>
      <vt:lpstr>Process Inventory (4)</vt:lpstr>
      <vt:lpstr>Process Inventory (3)</vt:lpstr>
      <vt:lpstr>Process Inventory (2)</vt:lpstr>
      <vt:lpstr>Process Inventory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Bedrinana, Diana (she/her/hers)</dc:creator>
  <cp:keywords/>
  <dc:description/>
  <cp:lastModifiedBy>Shravan Challa</cp:lastModifiedBy>
  <cp:revision/>
  <dcterms:created xsi:type="dcterms:W3CDTF">2026-07-03T18:57:41Z</dcterms:created>
  <dcterms:modified xsi:type="dcterms:W3CDTF">2026-09-23T15:48:55Z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8c63503-0fb3-4712-a32e-7ecb4b7d79e8_Enabled">
    <vt:lpwstr>true</vt:lpwstr>
  </property>
  <property fmtid="{D5CDD505-2E9C-101B-9397-08002B2CF9AE}" pid="3" name="MSIP_Label_88c63503-0fb3-4712-a32e-7ecb4b7d79e8_SetDate">
    <vt:lpwstr>2026-07-03T19:03:03Z</vt:lpwstr>
  </property>
  <property fmtid="{D5CDD505-2E9C-101B-9397-08002B2CF9AE}" pid="4" name="MSIP_Label_88c63503-0fb3-4712-a32e-7ecb4b7d79e8_Method">
    <vt:lpwstr>Standard</vt:lpwstr>
  </property>
  <property fmtid="{D5CDD505-2E9C-101B-9397-08002B2CF9AE}" pid="5" name="MSIP_Label_88c63503-0fb3-4712-a32e-7ecb4b7d79e8_Name">
    <vt:lpwstr>88c63503-0fb3-4712-a32e-7ecb4b7d79e8</vt:lpwstr>
  </property>
  <property fmtid="{D5CDD505-2E9C-101B-9397-08002B2CF9AE}" pid="6" name="MSIP_Label_88c63503-0fb3-4712-a32e-7ecb4b7d79e8_SiteId">
    <vt:lpwstr>d9da684f-2c03-432a-a7b6-ed714ffc7683</vt:lpwstr>
  </property>
  <property fmtid="{D5CDD505-2E9C-101B-9397-08002B2CF9AE}" pid="7" name="MSIP_Label_88c63503-0fb3-4712-a32e-7ecb4b7d79e8_ActionId">
    <vt:lpwstr>df458345-e3cd-4a7e-a850-6c262a1532c8</vt:lpwstr>
  </property>
  <property fmtid="{D5CDD505-2E9C-101B-9397-08002B2CF9AE}" pid="8" name="MSIP_Label_88c63503-0fb3-4712-a32e-7ecb4b7d79e8_ContentBits">
    <vt:lpwstr>2</vt:lpwstr>
  </property>
  <property fmtid="{D5CDD505-2E9C-101B-9397-08002B2CF9AE}" pid="9" name="MSIP_Label_88c63503-0fb3-4712-a32e-7ecb4b7d79e8_Tag">
    <vt:lpwstr>10, 3, 0, 1</vt:lpwstr>
  </property>
  <property fmtid="{D5CDD505-2E9C-101B-9397-08002B2CF9AE}" pid="10" name="ContentTypeId">
    <vt:lpwstr>0x010100D682973777D4254291CF76CEE6A60C3D</vt:lpwstr>
  </property>
  <property fmtid="{D5CDD505-2E9C-101B-9397-08002B2CF9AE}" pid="11" name="MediaServiceImageTags">
    <vt:lpwstr/>
  </property>
</Properties>
</file>